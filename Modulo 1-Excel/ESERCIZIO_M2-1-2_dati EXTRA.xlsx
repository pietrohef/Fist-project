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1/"/>
    </mc:Choice>
  </mc:AlternateContent>
  <xr:revisionPtr revIDLastSave="119" documentId="8_{F7605444-8E59-4F65-9A76-4B04B1A80F7F}" xr6:coauthVersionLast="47" xr6:coauthVersionMax="47" xr10:uidLastSave="{43FC5B30-A56A-43F7-AD67-D13F00C42D19}"/>
  <bookViews>
    <workbookView xWindow="-108" yWindow="-108" windowWidth="23256" windowHeight="12456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Frutta!$D$1:$D$47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G4" i="2" a="1"/>
  <c r="G4" i="2" s="1"/>
  <c r="G5" i="2" a="1"/>
  <c r="G5" i="2" s="1"/>
  <c r="G6" i="2" a="1"/>
  <c r="G6" i="2" s="1"/>
  <c r="G2" i="2" a="1"/>
  <c r="G2" i="2" s="1"/>
  <c r="D2" i="1"/>
  <c r="F3" i="2"/>
  <c r="F4" i="2"/>
  <c r="F5" i="2"/>
  <c r="F6" i="2"/>
  <c r="F2" i="2"/>
  <c r="E3" i="2"/>
  <c r="E4" i="2"/>
  <c r="E5" i="2"/>
  <c r="E6" i="2"/>
  <c r="E2" i="2"/>
  <c r="D2" i="2" a="1"/>
  <c r="D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I14" i="1"/>
  <c r="I15" i="1"/>
  <c r="I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<sst xmlns="http://schemas.openxmlformats.org/spreadsheetml/2006/main" count="164" uniqueCount="121">
  <si>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</si>
  <si>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</si>
  <si>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</si>
  <si>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</si>
  <si>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</si>
  <si>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</si>
  <si>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</si>
  <si>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</si>
  <si>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</si>
  <si>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</si>
  <si>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</si>
  <si>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</si>
  <si>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</si>
  <si>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</si>
  <si>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</si>
  <si>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</si>
  <si>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</si>
  <si>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</si>
  <si>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</si>
  <si>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</si>
  <si>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</si>
  <si>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</si>
  <si>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</si>
  <si>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</si>
  <si>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</si>
  <si>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</si>
  <si>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</si>
  <si>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</si>
  <si>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</si>
  <si>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</si>
  <si>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</si>
  <si>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</si>
  <si>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</si>
  <si>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</si>
  <si>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</si>
  <si>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</si>
  <si>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</si>
  <si>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</si>
  <si>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</si>
  <si>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</si>
  <si>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</si>
  <si>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</si>
  <si>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</si>
  <si>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</si>
  <si>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</si>
  <si>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</si>
  <si>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</si>
  <si>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</si>
  <si>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</si>
  <si>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</si>
  <si>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</si>
  <si>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</si>
  <si>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</si>
  <si>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</si>
  <si>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</si>
  <si>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</si>
  <si>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</si>
  <si>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</si>
  <si>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</si>
  <si>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</si>
  <si>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</si>
  <si>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</si>
  <si>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</si>
  <si>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</si>
  <si>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</si>
  <si>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</si>
  <si>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</si>
  <si>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</si>
  <si>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</si>
  <si>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</si>
  <si>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</si>
  <si>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</si>
  <si>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</si>
  <si>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</si>
  <si>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</si>
  <si>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</si>
  <si>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</si>
  <si>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</si>
  <si>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</si>
  <si>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</si>
  <si>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</si>
  <si>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</si>
  <si>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</si>
  <si>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</si>
  <si>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</si>
  <si>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</si>
  <si>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</si>
  <si>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</si>
  <si>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</si>
  <si>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</si>
  <si>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</si>
  <si>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</si>
  <si>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</si>
  <si>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</si>
  <si>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</si>
  <si>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</si>
  <si>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</si>
  <si>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</si>
  <si>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</si>
  <si>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</si>
  <si>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</si>
  <si>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</si>
  <si>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</si>
  <si>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</si>
  <si>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</si>
  <si>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</si>
  <si>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</si>
  <si>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</si>
  <si>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</si>
  <si>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</si>
  <si>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Targa</t>
  </si>
  <si>
    <t>PREZZO*ORE</t>
  </si>
  <si>
    <t>A-F</t>
  </si>
  <si>
    <t>G-M</t>
  </si>
  <si>
    <t>N-Z</t>
  </si>
  <si>
    <t>PREZZO*MINUTI</t>
  </si>
  <si>
    <t>CAD, VEICOLO</t>
  </si>
  <si>
    <t>DUPLICATI</t>
  </si>
  <si>
    <t>Totale Frutto</t>
  </si>
  <si>
    <t xml:space="preserve">Quantità </t>
  </si>
  <si>
    <t>Costo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</si>
</sst>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0" fillId="0" borderId="3" xfId="0" applyBorder="1"/>
    <xf numFmtId="0" fontId="2" fillId="0" borderId="2" xfId="0" applyFont="1" applyBorder="1"/>
    <xf numFmtId="0" fontId="0" fillId="0" borderId="5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</xdr:colOff>
      <xdr:row>0</xdr:row>
      <xdr:rowOff>7620</xdr:rowOff>
    </xdr:from>
    <xdr:to>
      <xdr:col>10</xdr:col>
      <xdr:colOff>286748</xdr:colOff>
      <xdr:row>10</xdr:row>
      <xdr:rowOff>175446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1F84606-E26D-4C08-9B9C-8BDC25F8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160" y="7620"/>
          <a:ext cx="5235394" cy="2149026"/>
        </a:xfrm>
        <a:prstGeom prst="rect">
          <a:avLst/>
        </a:prstGeom>
      </xdr:spPr>
    </xdr:pic>
    <xdr:clientData/>
  </xdr:twoCellAnchor>
  <xdr:twoCellAnchor editAs="oneCell">
    <xdr:from>
      <xdr:col>5</xdr:col>
      <xdr:colOff>40106</xdr:colOff>
      <xdr:row>29</xdr:row>
      <xdr:rowOff>40106</xdr:rowOff>
    </xdr:from>
    <xdr:to>
      <xdr:col>11</xdr:col>
      <xdr:colOff>556810</xdr:colOff>
      <xdr:row>31</xdr:row>
      <xdr:rowOff>197895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42FA1366-C32A-D5EA-F8B9-BB212E7D1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2534"/>
        <a:stretch>
          <a:fillRect/>
        </a:stretch>
      </xdr:blipFill>
      <xdr:spPr>
        <a:xfrm>
          <a:off x="5895474" y="5855369"/>
          <a:ext cx="6348010" cy="558842"/>
        </a:xfrm>
        <a:prstGeom prst="rect">
          <a:avLst/>
        </a:prstGeom>
      </xdr:spPr>
    </xdr:pic>
    <xdr:clientData/>
  </xdr:twoCellAnchor>
  <xdr:twoCellAnchor editAs="oneCell">
    <xdr:from>
      <xdr:col>5</xdr:col>
      <xdr:colOff>56148</xdr:colOff>
      <xdr:row>23</xdr:row>
      <xdr:rowOff>56147</xdr:rowOff>
    </xdr:from>
    <xdr:to>
      <xdr:col>11</xdr:col>
      <xdr:colOff>572852</xdr:colOff>
      <xdr:row>26</xdr:row>
      <xdr:rowOff>56148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3C8CD65-E091-E3DC-ED1D-7C552F90F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902" b="36532"/>
        <a:stretch>
          <a:fillRect/>
        </a:stretch>
      </xdr:blipFill>
      <xdr:spPr>
        <a:xfrm>
          <a:off x="5911516" y="4668252"/>
          <a:ext cx="6348010" cy="601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120676</xdr:colOff>
      <xdr:row>0</xdr:row>
      <xdr:rowOff>0</xdr:rowOff>
    </xdr:from>
    <xdr:to>
      <xdr:col>14</xdr:col>
      <xdr:colOff>387926</xdr:colOff>
      <xdr:row>3</xdr:row>
      <xdr:rowOff>79409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96DABB6-8194-4356-853E-56EC7D04F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6886"/>
        <a:stretch>
          <a:fillRect/>
        </a:stretch>
      </xdr:blipFill>
      <xdr:spPr>
        <a:xfrm>
          <a:off x="8362717" y="0"/>
          <a:ext cx="6363250" cy="662572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4</xdr:row>
      <xdr:rowOff>60960</xdr:rowOff>
    </xdr:from>
    <xdr:to>
      <xdr:col>14</xdr:col>
      <xdr:colOff>389170</xdr:colOff>
      <xdr:row>7</xdr:row>
      <xdr:rowOff>68180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A303681-761C-45F8-87D1-70AFED127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902" b="36532"/>
        <a:stretch>
          <a:fillRect/>
        </a:stretch>
      </xdr:blipFill>
      <xdr:spPr>
        <a:xfrm>
          <a:off x="8480593" y="838511"/>
          <a:ext cx="6363250" cy="590383"/>
        </a:xfrm>
        <a:prstGeom prst="rect">
          <a:avLst/>
        </a:prstGeom>
      </xdr:spPr>
    </xdr:pic>
    <xdr:clientData/>
  </xdr:twoCellAnchor>
  <xdr:twoCellAnchor editAs="oneCell">
    <xdr:from>
      <xdr:col>7</xdr:col>
      <xdr:colOff>92529</xdr:colOff>
      <xdr:row>8</xdr:row>
      <xdr:rowOff>13374</xdr:rowOff>
    </xdr:from>
    <xdr:to>
      <xdr:col>14</xdr:col>
      <xdr:colOff>359779</xdr:colOff>
      <xdr:row>10</xdr:row>
      <xdr:rowOff>172243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80137A9-E0CE-48E1-9ED8-EFA6AADB8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2534"/>
        <a:stretch>
          <a:fillRect/>
        </a:stretch>
      </xdr:blipFill>
      <xdr:spPr>
        <a:xfrm>
          <a:off x="8451202" y="1568476"/>
          <a:ext cx="6363250" cy="5476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zoomScale="95" zoomScaleNormal="95" workbookViewId="0">
      <selection activeCell="D2" sqref="D2"/>
    </sheetView>
  </sheetViews>
  <sheetFormatPr defaultColWidth="12.6640625" defaultRowHeight="15.75" customHeight="1" x14ac:dyDescent="0.25"/>
  <cols>
    <col min="1" max="1" width="12.6640625" style="6"/>
    <col min="2" max="2" width="25.33203125" style="6" customWidth="1"/>
    <col min="3" max="3" width="22.6640625" style="6" customWidth="1"/>
    <col min="4" max="4" width="12" style="6" customWidth="1"/>
    <col min="7" max="7" width="15.109375" customWidth="1"/>
    <col min="8" max="8" width="16.109375" customWidth="1"/>
    <col min="9" max="9" width="15.88671875" customWidth="1"/>
  </cols>
  <sheetData>
    <row r="1" spans="1:26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4</v>
      </c>
      <c r="B2" s="4">
        <v>1.5</v>
      </c>
      <c r="C2" s="5">
        <f t="shared" ref="C2:C33" si="0">IF(LEFT(A2,1)&lt;="F",$G$13,IF(LEFT(A2,1)&lt;="M",$G$14,$G$15))</f>
        <v>0</v>
      </c>
      <c r="D2" s="7">
        <f>IF(C2=$G$13,B2*$I$13,IF(C2=$G$14,B2*$I$14,B2*$I$15))</f>
        <v>6</v>
      </c>
    </row>
    <row r="3" spans="1:26" x14ac:dyDescent="0.25">
      <c r="A3" s="4" t="s">
        <v>5</v>
      </c>
      <c r="B3" s="4">
        <v>2.5</v>
      </c>
      <c r="C3" s="5">
        <f t="shared" si="0"/>
        <v>1</v>
      </c>
      <c r="D3" s="7">
        <f t="shared" ref="D3:D66" si="1">IF(C3=$G$13,B3*$I$13,IF(C3=$G$14,B3*$I$14,B3*$I$15))</f>
        <v>7.5</v>
      </c>
    </row>
    <row r="4" spans="1:26" x14ac:dyDescent="0.25">
      <c r="A4" s="4" t="s">
        <v>6</v>
      </c>
      <c r="B4" s="4">
        <v>3.5</v>
      </c>
      <c r="C4" s="5">
        <f t="shared" si="0"/>
        <v>2</v>
      </c>
      <c r="D4" s="7">
        <f t="shared" si="1"/>
        <v>7</v>
      </c>
    </row>
    <row r="5" spans="1:26" x14ac:dyDescent="0.25">
      <c r="A5" s="4" t="s">
        <v>7</v>
      </c>
      <c r="B5" s="4">
        <v>4.5</v>
      </c>
      <c r="C5" s="5">
        <f t="shared" si="0"/>
        <v>2</v>
      </c>
      <c r="D5" s="7">
        <f t="shared" si="1"/>
        <v>9</v>
      </c>
    </row>
    <row r="6" spans="1:26" x14ac:dyDescent="0.25">
      <c r="A6" s="4" t="s">
        <v>8</v>
      </c>
      <c r="B6" s="4">
        <v>5.5</v>
      </c>
      <c r="C6" s="5">
        <f t="shared" si="0"/>
        <v>2</v>
      </c>
      <c r="D6" s="7">
        <f t="shared" si="1"/>
        <v>11</v>
      </c>
    </row>
    <row r="7" spans="1:26" x14ac:dyDescent="0.25">
      <c r="A7" s="4" t="s">
        <v>9</v>
      </c>
      <c r="B7" s="4">
        <v>6.5</v>
      </c>
      <c r="C7" s="5">
        <f t="shared" si="0"/>
        <v>2</v>
      </c>
      <c r="D7" s="7">
        <f t="shared" si="1"/>
        <v>13</v>
      </c>
    </row>
    <row r="8" spans="1:26" x14ac:dyDescent="0.25">
      <c r="A8" s="4" t="s">
        <v>10</v>
      </c>
      <c r="B8" s="4">
        <v>7.5</v>
      </c>
      <c r="C8" s="5">
        <f t="shared" si="0"/>
        <v>0</v>
      </c>
      <c r="D8" s="7">
        <f t="shared" si="1"/>
        <v>30</v>
      </c>
    </row>
    <row r="9" spans="1:26" x14ac:dyDescent="0.25">
      <c r="A9" s="4" t="s">
        <v>11</v>
      </c>
      <c r="B9" s="4">
        <v>8.5</v>
      </c>
      <c r="C9" s="5">
        <f t="shared" si="0"/>
        <v>0</v>
      </c>
      <c r="D9" s="7">
        <f t="shared" si="1"/>
        <v>34</v>
      </c>
    </row>
    <row r="10" spans="1:26" x14ac:dyDescent="0.25">
      <c r="A10" s="4" t="s">
        <v>12</v>
      </c>
      <c r="B10" s="4">
        <v>9.5</v>
      </c>
      <c r="C10" s="5">
        <f t="shared" si="0"/>
        <v>0</v>
      </c>
      <c r="D10" s="7">
        <f t="shared" si="1"/>
        <v>38</v>
      </c>
    </row>
    <row r="11" spans="1:26" x14ac:dyDescent="0.25">
      <c r="A11" s="4" t="s">
        <v>13</v>
      </c>
      <c r="B11" s="4">
        <v>10</v>
      </c>
      <c r="C11" s="5">
        <f t="shared" si="0"/>
        <v>1</v>
      </c>
      <c r="D11" s="7">
        <f t="shared" si="1"/>
        <v>30</v>
      </c>
    </row>
    <row r="12" spans="1:26" x14ac:dyDescent="0.25">
      <c r="A12" s="4" t="s">
        <v>14</v>
      </c>
      <c r="B12" s="4">
        <v>0.5</v>
      </c>
      <c r="C12" s="5">
        <f t="shared" si="0"/>
        <v>1</v>
      </c>
      <c r="D12" s="7">
        <f t="shared" si="1"/>
        <v>1.5</v>
      </c>
      <c r="F12" s="9" t="s">
        <v>110</v>
      </c>
      <c r="G12" s="9" t="s">
        <v>116</v>
      </c>
      <c r="H12" s="9" t="s">
        <v>115</v>
      </c>
      <c r="I12" s="9" t="s">
        <v>111</v>
      </c>
    </row>
    <row r="13" spans="1:26" x14ac:dyDescent="0.25">
      <c r="A13" s="4" t="s">
        <v>15</v>
      </c>
      <c r="B13" s="4">
        <v>1</v>
      </c>
      <c r="C13" s="5">
        <f t="shared" si="0"/>
        <v>1</v>
      </c>
      <c r="D13" s="7">
        <f t="shared" si="1"/>
        <v>3</v>
      </c>
      <c r="F13" s="3" t="s">
        <v>112</v>
      </c>
      <c r="G13" s="3">
        <v>0</v>
      </c>
      <c r="H13" s="3">
        <v>2</v>
      </c>
      <c r="I13" s="3">
        <f>H13*2</f>
        <v>4</v>
      </c>
    </row>
    <row r="14" spans="1:26" x14ac:dyDescent="0.25">
      <c r="A14" s="4" t="s">
        <v>16</v>
      </c>
      <c r="B14" s="4">
        <v>2</v>
      </c>
      <c r="C14" s="5">
        <f t="shared" si="0"/>
        <v>1</v>
      </c>
      <c r="D14" s="7">
        <f t="shared" si="1"/>
        <v>6</v>
      </c>
      <c r="F14" s="3" t="s">
        <v>113</v>
      </c>
      <c r="G14" s="3">
        <v>1</v>
      </c>
      <c r="H14" s="3">
        <v>1.5</v>
      </c>
      <c r="I14" s="3">
        <f t="shared" ref="I14:I15" si="2">H14*2</f>
        <v>3</v>
      </c>
    </row>
    <row r="15" spans="1:26" x14ac:dyDescent="0.25">
      <c r="A15" s="4" t="s">
        <v>17</v>
      </c>
      <c r="B15" s="4">
        <v>3</v>
      </c>
      <c r="C15" s="5">
        <f t="shared" si="0"/>
        <v>2</v>
      </c>
      <c r="D15" s="7">
        <f t="shared" si="1"/>
        <v>6</v>
      </c>
      <c r="F15" s="3" t="s">
        <v>114</v>
      </c>
      <c r="G15" s="3">
        <v>2</v>
      </c>
      <c r="H15" s="3">
        <v>1</v>
      </c>
      <c r="I15" s="3">
        <f t="shared" si="2"/>
        <v>2</v>
      </c>
    </row>
    <row r="16" spans="1:26" x14ac:dyDescent="0.25">
      <c r="A16" s="4" t="s">
        <v>18</v>
      </c>
      <c r="B16" s="4">
        <v>4</v>
      </c>
      <c r="C16" s="5">
        <f t="shared" si="0"/>
        <v>2</v>
      </c>
      <c r="D16" s="7">
        <f t="shared" si="1"/>
        <v>8</v>
      </c>
    </row>
    <row r="17" spans="1:4" x14ac:dyDescent="0.25">
      <c r="A17" s="4" t="s">
        <v>19</v>
      </c>
      <c r="B17" s="4">
        <v>5</v>
      </c>
      <c r="C17" s="5">
        <f t="shared" si="0"/>
        <v>2</v>
      </c>
      <c r="D17" s="7">
        <f t="shared" si="1"/>
        <v>10</v>
      </c>
    </row>
    <row r="18" spans="1:4" x14ac:dyDescent="0.25">
      <c r="A18" s="4" t="s">
        <v>20</v>
      </c>
      <c r="B18" s="4">
        <v>6</v>
      </c>
      <c r="C18" s="5">
        <f t="shared" si="0"/>
        <v>2</v>
      </c>
      <c r="D18" s="7">
        <f t="shared" si="1"/>
        <v>12</v>
      </c>
    </row>
    <row r="19" spans="1:4" x14ac:dyDescent="0.25">
      <c r="A19" s="4" t="s">
        <v>21</v>
      </c>
      <c r="B19" s="4">
        <v>7</v>
      </c>
      <c r="C19" s="5">
        <f t="shared" si="0"/>
        <v>2</v>
      </c>
      <c r="D19" s="7">
        <f t="shared" si="1"/>
        <v>14</v>
      </c>
    </row>
    <row r="20" spans="1:4" x14ac:dyDescent="0.25">
      <c r="A20" s="4" t="s">
        <v>22</v>
      </c>
      <c r="B20" s="4">
        <v>8</v>
      </c>
      <c r="C20" s="5">
        <f t="shared" si="0"/>
        <v>2</v>
      </c>
      <c r="D20" s="7">
        <f t="shared" si="1"/>
        <v>16</v>
      </c>
    </row>
    <row r="21" spans="1:4" x14ac:dyDescent="0.25">
      <c r="A21" s="4" t="s">
        <v>23</v>
      </c>
      <c r="B21" s="4">
        <v>9</v>
      </c>
      <c r="C21" s="5">
        <f t="shared" si="0"/>
        <v>0</v>
      </c>
      <c r="D21" s="7">
        <f t="shared" si="1"/>
        <v>36</v>
      </c>
    </row>
    <row r="22" spans="1:4" x14ac:dyDescent="0.25">
      <c r="A22" s="4" t="s">
        <v>24</v>
      </c>
      <c r="B22" s="4">
        <v>10</v>
      </c>
      <c r="C22" s="5">
        <f t="shared" si="0"/>
        <v>0</v>
      </c>
      <c r="D22" s="7">
        <f t="shared" si="1"/>
        <v>40</v>
      </c>
    </row>
    <row r="23" spans="1:4" x14ac:dyDescent="0.25">
      <c r="A23" s="4" t="s">
        <v>25</v>
      </c>
      <c r="B23" s="4">
        <v>0.5</v>
      </c>
      <c r="C23" s="5">
        <f t="shared" si="0"/>
        <v>0</v>
      </c>
      <c r="D23" s="7">
        <f t="shared" si="1"/>
        <v>2</v>
      </c>
    </row>
    <row r="24" spans="1:4" x14ac:dyDescent="0.25">
      <c r="A24" s="4" t="s">
        <v>26</v>
      </c>
      <c r="B24" s="4">
        <v>1</v>
      </c>
      <c r="C24" s="5">
        <f t="shared" si="0"/>
        <v>1</v>
      </c>
      <c r="D24" s="7">
        <f t="shared" si="1"/>
        <v>3</v>
      </c>
    </row>
    <row r="25" spans="1:4" x14ac:dyDescent="0.25">
      <c r="A25" s="4" t="s">
        <v>27</v>
      </c>
      <c r="B25" s="4">
        <v>2</v>
      </c>
      <c r="C25" s="5">
        <f t="shared" si="0"/>
        <v>1</v>
      </c>
      <c r="D25" s="7">
        <f t="shared" si="1"/>
        <v>6</v>
      </c>
    </row>
    <row r="26" spans="1:4" x14ac:dyDescent="0.25">
      <c r="A26" s="4" t="s">
        <v>28</v>
      </c>
      <c r="B26" s="4">
        <v>3</v>
      </c>
      <c r="C26" s="5">
        <f t="shared" si="0"/>
        <v>1</v>
      </c>
      <c r="D26" s="7">
        <f t="shared" si="1"/>
        <v>9</v>
      </c>
    </row>
    <row r="27" spans="1:4" x14ac:dyDescent="0.25">
      <c r="A27" s="4" t="s">
        <v>29</v>
      </c>
      <c r="B27" s="4">
        <v>4</v>
      </c>
      <c r="C27" s="5">
        <f t="shared" si="0"/>
        <v>1</v>
      </c>
      <c r="D27" s="7">
        <f t="shared" si="1"/>
        <v>12</v>
      </c>
    </row>
    <row r="28" spans="1:4" x14ac:dyDescent="0.25">
      <c r="A28" s="4" t="s">
        <v>30</v>
      </c>
      <c r="B28" s="4">
        <v>5</v>
      </c>
      <c r="C28" s="5">
        <f t="shared" si="0"/>
        <v>2</v>
      </c>
      <c r="D28" s="7">
        <f t="shared" si="1"/>
        <v>10</v>
      </c>
    </row>
    <row r="29" spans="1:4" x14ac:dyDescent="0.25">
      <c r="A29" s="4" t="s">
        <v>31</v>
      </c>
      <c r="B29" s="4">
        <v>6</v>
      </c>
      <c r="C29" s="5">
        <f t="shared" si="0"/>
        <v>2</v>
      </c>
      <c r="D29" s="7">
        <f t="shared" si="1"/>
        <v>12</v>
      </c>
    </row>
    <row r="30" spans="1:4" x14ac:dyDescent="0.25">
      <c r="A30" s="4" t="s">
        <v>32</v>
      </c>
      <c r="B30" s="4">
        <v>7</v>
      </c>
      <c r="C30" s="5">
        <f t="shared" si="0"/>
        <v>2</v>
      </c>
      <c r="D30" s="7">
        <f t="shared" si="1"/>
        <v>14</v>
      </c>
    </row>
    <row r="31" spans="1:4" x14ac:dyDescent="0.25">
      <c r="A31" s="4" t="s">
        <v>33</v>
      </c>
      <c r="B31" s="4">
        <v>8</v>
      </c>
      <c r="C31" s="5">
        <f t="shared" si="0"/>
        <v>2</v>
      </c>
      <c r="D31" s="7">
        <f t="shared" si="1"/>
        <v>16</v>
      </c>
    </row>
    <row r="32" spans="1:4" x14ac:dyDescent="0.25">
      <c r="A32" s="4" t="s">
        <v>34</v>
      </c>
      <c r="B32" s="4">
        <v>9</v>
      </c>
      <c r="C32" s="5">
        <f t="shared" si="0"/>
        <v>2</v>
      </c>
      <c r="D32" s="7">
        <f t="shared" si="1"/>
        <v>18</v>
      </c>
    </row>
    <row r="33" spans="1:4" x14ac:dyDescent="0.25">
      <c r="A33" s="4" t="s">
        <v>35</v>
      </c>
      <c r="B33" s="4">
        <v>10</v>
      </c>
      <c r="C33" s="5">
        <f t="shared" si="0"/>
        <v>2</v>
      </c>
      <c r="D33" s="7">
        <f t="shared" si="1"/>
        <v>20</v>
      </c>
    </row>
    <row r="34" spans="1:4" x14ac:dyDescent="0.25">
      <c r="A34" s="4" t="s">
        <v>36</v>
      </c>
      <c r="B34" s="4">
        <v>0.5</v>
      </c>
      <c r="C34" s="5">
        <f t="shared" ref="C34:C65" si="3">IF(LEFT(A34,1)&lt;="F",$G$13,IF(LEFT(A34,1)&lt;="M",$G$14,$G$15))</f>
        <v>0</v>
      </c>
      <c r="D34" s="7">
        <f t="shared" si="1"/>
        <v>2</v>
      </c>
    </row>
    <row r="35" spans="1:4" x14ac:dyDescent="0.25">
      <c r="A35" s="4" t="s">
        <v>37</v>
      </c>
      <c r="B35" s="4">
        <v>1</v>
      </c>
      <c r="C35" s="5">
        <f t="shared" si="3"/>
        <v>0</v>
      </c>
      <c r="D35" s="7">
        <f t="shared" si="1"/>
        <v>4</v>
      </c>
    </row>
    <row r="36" spans="1:4" x14ac:dyDescent="0.25">
      <c r="A36" s="4" t="s">
        <v>38</v>
      </c>
      <c r="B36" s="4">
        <v>2</v>
      </c>
      <c r="C36" s="5">
        <f t="shared" si="3"/>
        <v>0</v>
      </c>
      <c r="D36" s="7">
        <f t="shared" si="1"/>
        <v>8</v>
      </c>
    </row>
    <row r="37" spans="1:4" x14ac:dyDescent="0.25">
      <c r="A37" s="4" t="s">
        <v>39</v>
      </c>
      <c r="B37" s="4">
        <v>3</v>
      </c>
      <c r="C37" s="5">
        <f t="shared" si="3"/>
        <v>1</v>
      </c>
      <c r="D37" s="7">
        <f t="shared" si="1"/>
        <v>9</v>
      </c>
    </row>
    <row r="38" spans="1:4" x14ac:dyDescent="0.25">
      <c r="A38" s="4" t="s">
        <v>40</v>
      </c>
      <c r="B38" s="4">
        <v>4</v>
      </c>
      <c r="C38" s="5">
        <f t="shared" si="3"/>
        <v>1</v>
      </c>
      <c r="D38" s="7">
        <f t="shared" si="1"/>
        <v>12</v>
      </c>
    </row>
    <row r="39" spans="1:4" x14ac:dyDescent="0.25">
      <c r="A39" s="4" t="s">
        <v>41</v>
      </c>
      <c r="B39" s="4">
        <v>5</v>
      </c>
      <c r="C39" s="5">
        <f t="shared" si="3"/>
        <v>1</v>
      </c>
      <c r="D39" s="7">
        <f t="shared" si="1"/>
        <v>15</v>
      </c>
    </row>
    <row r="40" spans="1:4" x14ac:dyDescent="0.25">
      <c r="A40" s="4" t="s">
        <v>42</v>
      </c>
      <c r="B40" s="4">
        <v>6</v>
      </c>
      <c r="C40" s="5">
        <f t="shared" si="3"/>
        <v>1</v>
      </c>
      <c r="D40" s="7">
        <f t="shared" si="1"/>
        <v>18</v>
      </c>
    </row>
    <row r="41" spans="1:4" x14ac:dyDescent="0.25">
      <c r="A41" s="4" t="s">
        <v>43</v>
      </c>
      <c r="B41" s="4">
        <v>7</v>
      </c>
      <c r="C41" s="5">
        <f t="shared" si="3"/>
        <v>2</v>
      </c>
      <c r="D41" s="7">
        <f t="shared" si="1"/>
        <v>14</v>
      </c>
    </row>
    <row r="42" spans="1:4" x14ac:dyDescent="0.25">
      <c r="A42" s="4" t="s">
        <v>44</v>
      </c>
      <c r="B42" s="4">
        <v>8</v>
      </c>
      <c r="C42" s="5">
        <f t="shared" si="3"/>
        <v>2</v>
      </c>
      <c r="D42" s="7">
        <f t="shared" si="1"/>
        <v>16</v>
      </c>
    </row>
    <row r="43" spans="1:4" x14ac:dyDescent="0.25">
      <c r="A43" s="4" t="s">
        <v>45</v>
      </c>
      <c r="B43" s="4">
        <v>9</v>
      </c>
      <c r="C43" s="5">
        <f t="shared" si="3"/>
        <v>2</v>
      </c>
      <c r="D43" s="7">
        <f t="shared" si="1"/>
        <v>18</v>
      </c>
    </row>
    <row r="44" spans="1:4" x14ac:dyDescent="0.25">
      <c r="A44" s="4" t="s">
        <v>7</v>
      </c>
      <c r="B44" s="4">
        <v>10</v>
      </c>
      <c r="C44" s="5">
        <f t="shared" si="3"/>
        <v>2</v>
      </c>
      <c r="D44" s="7">
        <f t="shared" si="1"/>
        <v>20</v>
      </c>
    </row>
    <row r="45" spans="1:4" x14ac:dyDescent="0.25">
      <c r="A45" s="4" t="s">
        <v>46</v>
      </c>
      <c r="B45" s="4">
        <v>0.5</v>
      </c>
      <c r="C45" s="5">
        <f t="shared" si="3"/>
        <v>2</v>
      </c>
      <c r="D45" s="7">
        <f t="shared" si="1"/>
        <v>1</v>
      </c>
    </row>
    <row r="46" spans="1:4" x14ac:dyDescent="0.25">
      <c r="A46" s="4" t="s">
        <v>47</v>
      </c>
      <c r="B46" s="4">
        <v>1</v>
      </c>
      <c r="C46" s="5">
        <f t="shared" si="3"/>
        <v>2</v>
      </c>
      <c r="D46" s="7">
        <f t="shared" si="1"/>
        <v>2</v>
      </c>
    </row>
    <row r="47" spans="1:4" x14ac:dyDescent="0.25">
      <c r="A47" s="4" t="s">
        <v>48</v>
      </c>
      <c r="B47" s="4">
        <v>2</v>
      </c>
      <c r="C47" s="5">
        <f t="shared" si="3"/>
        <v>0</v>
      </c>
      <c r="D47" s="7">
        <f t="shared" si="1"/>
        <v>8</v>
      </c>
    </row>
    <row r="48" spans="1:4" x14ac:dyDescent="0.25">
      <c r="A48" s="4" t="s">
        <v>49</v>
      </c>
      <c r="B48" s="4">
        <v>3</v>
      </c>
      <c r="C48" s="5">
        <f t="shared" si="3"/>
        <v>0</v>
      </c>
      <c r="D48" s="7">
        <f t="shared" si="1"/>
        <v>12</v>
      </c>
    </row>
    <row r="49" spans="1:4" x14ac:dyDescent="0.25">
      <c r="A49" s="4" t="s">
        <v>50</v>
      </c>
      <c r="B49" s="4">
        <v>4</v>
      </c>
      <c r="C49" s="5">
        <f t="shared" si="3"/>
        <v>0</v>
      </c>
      <c r="D49" s="7">
        <f t="shared" si="1"/>
        <v>16</v>
      </c>
    </row>
    <row r="50" spans="1:4" x14ac:dyDescent="0.25">
      <c r="A50" s="4" t="s">
        <v>51</v>
      </c>
      <c r="B50" s="4">
        <v>5</v>
      </c>
      <c r="C50" s="5">
        <f t="shared" si="3"/>
        <v>1</v>
      </c>
      <c r="D50" s="7">
        <f t="shared" si="1"/>
        <v>15</v>
      </c>
    </row>
    <row r="51" spans="1:4" x14ac:dyDescent="0.25">
      <c r="A51" s="4" t="s">
        <v>52</v>
      </c>
      <c r="B51" s="4">
        <v>6</v>
      </c>
      <c r="C51" s="5">
        <f t="shared" si="3"/>
        <v>1</v>
      </c>
      <c r="D51" s="7">
        <f t="shared" si="1"/>
        <v>18</v>
      </c>
    </row>
    <row r="52" spans="1:4" x14ac:dyDescent="0.25">
      <c r="A52" s="4" t="s">
        <v>53</v>
      </c>
      <c r="B52" s="4">
        <v>7</v>
      </c>
      <c r="C52" s="5">
        <f t="shared" si="3"/>
        <v>1</v>
      </c>
      <c r="D52" s="7">
        <f t="shared" si="1"/>
        <v>21</v>
      </c>
    </row>
    <row r="53" spans="1:4" x14ac:dyDescent="0.25">
      <c r="A53" s="4" t="s">
        <v>54</v>
      </c>
      <c r="B53" s="4">
        <v>8</v>
      </c>
      <c r="C53" s="5">
        <f t="shared" si="3"/>
        <v>1</v>
      </c>
      <c r="D53" s="7">
        <f t="shared" si="1"/>
        <v>24</v>
      </c>
    </row>
    <row r="54" spans="1:4" x14ac:dyDescent="0.25">
      <c r="A54" s="4" t="s">
        <v>55</v>
      </c>
      <c r="B54" s="4">
        <v>9</v>
      </c>
      <c r="C54" s="5">
        <f t="shared" si="3"/>
        <v>2</v>
      </c>
      <c r="D54" s="7">
        <f t="shared" si="1"/>
        <v>18</v>
      </c>
    </row>
    <row r="55" spans="1:4" x14ac:dyDescent="0.25">
      <c r="A55" s="4" t="s">
        <v>56</v>
      </c>
      <c r="B55" s="4">
        <v>10</v>
      </c>
      <c r="C55" s="5">
        <f t="shared" si="3"/>
        <v>2</v>
      </c>
      <c r="D55" s="7">
        <f t="shared" si="1"/>
        <v>20</v>
      </c>
    </row>
    <row r="56" spans="1:4" x14ac:dyDescent="0.25">
      <c r="A56" s="4" t="s">
        <v>57</v>
      </c>
      <c r="B56" s="4">
        <v>0.5</v>
      </c>
      <c r="C56" s="5">
        <f t="shared" si="3"/>
        <v>2</v>
      </c>
      <c r="D56" s="7">
        <f t="shared" si="1"/>
        <v>1</v>
      </c>
    </row>
    <row r="57" spans="1:4" x14ac:dyDescent="0.25">
      <c r="A57" s="4" t="s">
        <v>58</v>
      </c>
      <c r="B57" s="4">
        <v>1</v>
      </c>
      <c r="C57" s="5">
        <f t="shared" si="3"/>
        <v>2</v>
      </c>
      <c r="D57" s="7">
        <f t="shared" si="1"/>
        <v>2</v>
      </c>
    </row>
    <row r="58" spans="1:4" x14ac:dyDescent="0.25">
      <c r="A58" s="4" t="s">
        <v>59</v>
      </c>
      <c r="B58" s="4">
        <v>2</v>
      </c>
      <c r="C58" s="5">
        <f t="shared" si="3"/>
        <v>2</v>
      </c>
      <c r="D58" s="7">
        <f t="shared" si="1"/>
        <v>4</v>
      </c>
    </row>
    <row r="59" spans="1:4" x14ac:dyDescent="0.25">
      <c r="A59" s="4" t="s">
        <v>60</v>
      </c>
      <c r="B59" s="4">
        <v>3</v>
      </c>
      <c r="C59" s="5">
        <f t="shared" si="3"/>
        <v>2</v>
      </c>
      <c r="D59" s="7">
        <f t="shared" si="1"/>
        <v>6</v>
      </c>
    </row>
    <row r="60" spans="1:4" x14ac:dyDescent="0.25">
      <c r="A60" s="4" t="s">
        <v>61</v>
      </c>
      <c r="B60" s="4">
        <v>4</v>
      </c>
      <c r="C60" s="5">
        <f t="shared" si="3"/>
        <v>0</v>
      </c>
      <c r="D60" s="7">
        <f t="shared" si="1"/>
        <v>16</v>
      </c>
    </row>
    <row r="61" spans="1:4" x14ac:dyDescent="0.25">
      <c r="A61" s="4" t="s">
        <v>62</v>
      </c>
      <c r="B61" s="4">
        <v>5</v>
      </c>
      <c r="C61" s="5">
        <f t="shared" si="3"/>
        <v>0</v>
      </c>
      <c r="D61" s="7">
        <f t="shared" si="1"/>
        <v>20</v>
      </c>
    </row>
    <row r="62" spans="1:4" x14ac:dyDescent="0.25">
      <c r="A62" s="4" t="s">
        <v>63</v>
      </c>
      <c r="B62" s="4">
        <v>6</v>
      </c>
      <c r="C62" s="5">
        <f t="shared" si="3"/>
        <v>0</v>
      </c>
      <c r="D62" s="7">
        <f t="shared" si="1"/>
        <v>24</v>
      </c>
    </row>
    <row r="63" spans="1:4" x14ac:dyDescent="0.25">
      <c r="A63" s="4" t="s">
        <v>64</v>
      </c>
      <c r="B63" s="4">
        <v>7</v>
      </c>
      <c r="C63" s="5">
        <f t="shared" si="3"/>
        <v>1</v>
      </c>
      <c r="D63" s="7">
        <f t="shared" si="1"/>
        <v>21</v>
      </c>
    </row>
    <row r="64" spans="1:4" x14ac:dyDescent="0.25">
      <c r="A64" s="4" t="s">
        <v>65</v>
      </c>
      <c r="B64" s="4">
        <v>8</v>
      </c>
      <c r="C64" s="5">
        <f t="shared" si="3"/>
        <v>1</v>
      </c>
      <c r="D64" s="7">
        <f t="shared" si="1"/>
        <v>24</v>
      </c>
    </row>
    <row r="65" spans="1:4" x14ac:dyDescent="0.25">
      <c r="A65" s="4" t="s">
        <v>66</v>
      </c>
      <c r="B65" s="4">
        <v>9</v>
      </c>
      <c r="C65" s="5">
        <f t="shared" si="3"/>
        <v>1</v>
      </c>
      <c r="D65" s="7">
        <f t="shared" si="1"/>
        <v>27</v>
      </c>
    </row>
    <row r="66" spans="1:4" x14ac:dyDescent="0.25">
      <c r="A66" s="4" t="s">
        <v>67</v>
      </c>
      <c r="B66" s="4">
        <v>10</v>
      </c>
      <c r="C66" s="5">
        <f t="shared" ref="C66:C101" si="4">IF(LEFT(A66,1)&lt;="F",$G$13,IF(LEFT(A66,1)&lt;="M",$G$14,$G$15))</f>
        <v>1</v>
      </c>
      <c r="D66" s="7">
        <f t="shared" si="1"/>
        <v>30</v>
      </c>
    </row>
    <row r="67" spans="1:4" x14ac:dyDescent="0.25">
      <c r="A67" s="4" t="s">
        <v>68</v>
      </c>
      <c r="B67" s="4">
        <v>0.5</v>
      </c>
      <c r="C67" s="5">
        <f t="shared" si="4"/>
        <v>2</v>
      </c>
      <c r="D67" s="7">
        <f t="shared" ref="D67:D101" si="5">IF(C67=$G$13,B67*$I$13,IF(C67=$G$14,B67*$I$14,B67*$I$15))</f>
        <v>1</v>
      </c>
    </row>
    <row r="68" spans="1:4" x14ac:dyDescent="0.25">
      <c r="A68" s="4" t="s">
        <v>69</v>
      </c>
      <c r="B68" s="4">
        <v>1</v>
      </c>
      <c r="C68" s="5">
        <f t="shared" si="4"/>
        <v>2</v>
      </c>
      <c r="D68" s="7">
        <f t="shared" si="5"/>
        <v>2</v>
      </c>
    </row>
    <row r="69" spans="1:4" x14ac:dyDescent="0.25">
      <c r="A69" s="4" t="s">
        <v>70</v>
      </c>
      <c r="B69" s="4">
        <v>2</v>
      </c>
      <c r="C69" s="5">
        <f t="shared" si="4"/>
        <v>2</v>
      </c>
      <c r="D69" s="7">
        <f t="shared" si="5"/>
        <v>4</v>
      </c>
    </row>
    <row r="70" spans="1:4" x14ac:dyDescent="0.25">
      <c r="A70" s="4" t="s">
        <v>71</v>
      </c>
      <c r="B70" s="4">
        <v>3</v>
      </c>
      <c r="C70" s="5">
        <f t="shared" si="4"/>
        <v>2</v>
      </c>
      <c r="D70" s="7">
        <f t="shared" si="5"/>
        <v>6</v>
      </c>
    </row>
    <row r="71" spans="1:4" x14ac:dyDescent="0.25">
      <c r="A71" s="4" t="s">
        <v>72</v>
      </c>
      <c r="B71" s="4">
        <v>4</v>
      </c>
      <c r="C71" s="5">
        <f t="shared" si="4"/>
        <v>2</v>
      </c>
      <c r="D71" s="7">
        <f t="shared" si="5"/>
        <v>8</v>
      </c>
    </row>
    <row r="72" spans="1:4" x14ac:dyDescent="0.25">
      <c r="A72" s="4" t="s">
        <v>73</v>
      </c>
      <c r="B72" s="4">
        <v>5</v>
      </c>
      <c r="C72" s="5">
        <f t="shared" si="4"/>
        <v>2</v>
      </c>
      <c r="D72" s="7">
        <f t="shared" si="5"/>
        <v>10</v>
      </c>
    </row>
    <row r="73" spans="1:4" x14ac:dyDescent="0.25">
      <c r="A73" s="4" t="s">
        <v>74</v>
      </c>
      <c r="B73" s="4">
        <v>6</v>
      </c>
      <c r="C73" s="5">
        <f t="shared" si="4"/>
        <v>0</v>
      </c>
      <c r="D73" s="7">
        <f t="shared" si="5"/>
        <v>24</v>
      </c>
    </row>
    <row r="74" spans="1:4" x14ac:dyDescent="0.25">
      <c r="A74" s="4" t="s">
        <v>75</v>
      </c>
      <c r="B74" s="4">
        <v>7</v>
      </c>
      <c r="C74" s="5">
        <f t="shared" si="4"/>
        <v>0</v>
      </c>
      <c r="D74" s="7">
        <f t="shared" si="5"/>
        <v>28</v>
      </c>
    </row>
    <row r="75" spans="1:4" x14ac:dyDescent="0.25">
      <c r="A75" s="4" t="s">
        <v>76</v>
      </c>
      <c r="B75" s="4">
        <v>8</v>
      </c>
      <c r="C75" s="5">
        <f t="shared" si="4"/>
        <v>0</v>
      </c>
      <c r="D75" s="7">
        <f t="shared" si="5"/>
        <v>32</v>
      </c>
    </row>
    <row r="76" spans="1:4" x14ac:dyDescent="0.25">
      <c r="A76" s="4" t="s">
        <v>77</v>
      </c>
      <c r="B76" s="4">
        <v>9</v>
      </c>
      <c r="C76" s="5">
        <f t="shared" si="4"/>
        <v>1</v>
      </c>
      <c r="D76" s="7">
        <f t="shared" si="5"/>
        <v>27</v>
      </c>
    </row>
    <row r="77" spans="1:4" x14ac:dyDescent="0.25">
      <c r="A77" s="4" t="s">
        <v>78</v>
      </c>
      <c r="B77" s="4">
        <v>10</v>
      </c>
      <c r="C77" s="5">
        <f t="shared" si="4"/>
        <v>1</v>
      </c>
      <c r="D77" s="7">
        <f t="shared" si="5"/>
        <v>30</v>
      </c>
    </row>
    <row r="78" spans="1:4" x14ac:dyDescent="0.25">
      <c r="A78" s="4" t="s">
        <v>79</v>
      </c>
      <c r="B78" s="4">
        <v>0.5</v>
      </c>
      <c r="C78" s="5">
        <f t="shared" si="4"/>
        <v>1</v>
      </c>
      <c r="D78" s="7">
        <f t="shared" si="5"/>
        <v>1.5</v>
      </c>
    </row>
    <row r="79" spans="1:4" x14ac:dyDescent="0.25">
      <c r="A79" s="4" t="s">
        <v>80</v>
      </c>
      <c r="B79" s="4">
        <v>1</v>
      </c>
      <c r="C79" s="5">
        <f t="shared" si="4"/>
        <v>1</v>
      </c>
      <c r="D79" s="7">
        <f t="shared" si="5"/>
        <v>3</v>
      </c>
    </row>
    <row r="80" spans="1:4" x14ac:dyDescent="0.25">
      <c r="A80" s="4" t="s">
        <v>81</v>
      </c>
      <c r="B80" s="4">
        <v>2</v>
      </c>
      <c r="C80" s="5">
        <f t="shared" si="4"/>
        <v>2</v>
      </c>
      <c r="D80" s="7">
        <f t="shared" si="5"/>
        <v>4</v>
      </c>
    </row>
    <row r="81" spans="1:4" x14ac:dyDescent="0.25">
      <c r="A81" s="4" t="s">
        <v>82</v>
      </c>
      <c r="B81" s="4">
        <v>3</v>
      </c>
      <c r="C81" s="5">
        <f t="shared" si="4"/>
        <v>2</v>
      </c>
      <c r="D81" s="7">
        <f t="shared" si="5"/>
        <v>6</v>
      </c>
    </row>
    <row r="82" spans="1:4" x14ac:dyDescent="0.25">
      <c r="A82" s="4" t="s">
        <v>83</v>
      </c>
      <c r="B82" s="4">
        <v>4</v>
      </c>
      <c r="C82" s="5">
        <f t="shared" si="4"/>
        <v>2</v>
      </c>
      <c r="D82" s="7">
        <f t="shared" si="5"/>
        <v>8</v>
      </c>
    </row>
    <row r="83" spans="1:4" x14ac:dyDescent="0.25">
      <c r="A83" s="4" t="s">
        <v>84</v>
      </c>
      <c r="B83" s="4">
        <v>5</v>
      </c>
      <c r="C83" s="5">
        <f t="shared" si="4"/>
        <v>2</v>
      </c>
      <c r="D83" s="7">
        <f t="shared" si="5"/>
        <v>10</v>
      </c>
    </row>
    <row r="84" spans="1:4" x14ac:dyDescent="0.25">
      <c r="A84" s="4" t="s">
        <v>85</v>
      </c>
      <c r="B84" s="4">
        <v>6</v>
      </c>
      <c r="C84" s="5">
        <f t="shared" si="4"/>
        <v>2</v>
      </c>
      <c r="D84" s="7">
        <f t="shared" si="5"/>
        <v>12</v>
      </c>
    </row>
    <row r="85" spans="1:4" x14ac:dyDescent="0.25">
      <c r="A85" s="4" t="s">
        <v>86</v>
      </c>
      <c r="B85" s="4">
        <v>7</v>
      </c>
      <c r="C85" s="5">
        <f t="shared" si="4"/>
        <v>2</v>
      </c>
      <c r="D85" s="7">
        <f t="shared" si="5"/>
        <v>14</v>
      </c>
    </row>
    <row r="86" spans="1:4" x14ac:dyDescent="0.25">
      <c r="A86" s="4" t="s">
        <v>87</v>
      </c>
      <c r="B86" s="4">
        <v>8</v>
      </c>
      <c r="C86" s="5">
        <f t="shared" si="4"/>
        <v>0</v>
      </c>
      <c r="D86" s="7">
        <f t="shared" si="5"/>
        <v>32</v>
      </c>
    </row>
    <row r="87" spans="1:4" x14ac:dyDescent="0.25">
      <c r="A87" s="4" t="s">
        <v>88</v>
      </c>
      <c r="B87" s="4">
        <v>9</v>
      </c>
      <c r="C87" s="5">
        <f t="shared" si="4"/>
        <v>0</v>
      </c>
      <c r="D87" s="7">
        <f t="shared" si="5"/>
        <v>36</v>
      </c>
    </row>
    <row r="88" spans="1:4" x14ac:dyDescent="0.25">
      <c r="A88" s="4" t="s">
        <v>89</v>
      </c>
      <c r="B88" s="4">
        <v>10</v>
      </c>
      <c r="C88" s="5">
        <f t="shared" si="4"/>
        <v>0</v>
      </c>
      <c r="D88" s="7">
        <f t="shared" si="5"/>
        <v>40</v>
      </c>
    </row>
    <row r="89" spans="1:4" x14ac:dyDescent="0.25">
      <c r="A89" s="4" t="s">
        <v>90</v>
      </c>
      <c r="B89" s="4">
        <v>0.5</v>
      </c>
      <c r="C89" s="5">
        <f t="shared" si="4"/>
        <v>1</v>
      </c>
      <c r="D89" s="7">
        <f t="shared" si="5"/>
        <v>1.5</v>
      </c>
    </row>
    <row r="90" spans="1:4" x14ac:dyDescent="0.25">
      <c r="A90" s="4" t="s">
        <v>91</v>
      </c>
      <c r="B90" s="4">
        <v>1</v>
      </c>
      <c r="C90" s="5">
        <f t="shared" si="4"/>
        <v>1</v>
      </c>
      <c r="D90" s="7">
        <f t="shared" si="5"/>
        <v>3</v>
      </c>
    </row>
    <row r="91" spans="1:4" x14ac:dyDescent="0.25">
      <c r="A91" s="4" t="s">
        <v>92</v>
      </c>
      <c r="B91" s="4">
        <v>2</v>
      </c>
      <c r="C91" s="5">
        <f t="shared" si="4"/>
        <v>1</v>
      </c>
      <c r="D91" s="7">
        <f t="shared" si="5"/>
        <v>6</v>
      </c>
    </row>
    <row r="92" spans="1:4" x14ac:dyDescent="0.25">
      <c r="A92" s="4" t="s">
        <v>93</v>
      </c>
      <c r="B92" s="4">
        <v>3</v>
      </c>
      <c r="C92" s="5">
        <f t="shared" si="4"/>
        <v>1</v>
      </c>
      <c r="D92" s="7">
        <f t="shared" si="5"/>
        <v>9</v>
      </c>
    </row>
    <row r="93" spans="1:4" x14ac:dyDescent="0.25">
      <c r="A93" s="4" t="s">
        <v>94</v>
      </c>
      <c r="B93" s="4">
        <v>4</v>
      </c>
      <c r="C93" s="5">
        <f t="shared" si="4"/>
        <v>2</v>
      </c>
      <c r="D93" s="7">
        <f t="shared" si="5"/>
        <v>8</v>
      </c>
    </row>
    <row r="94" spans="1:4" x14ac:dyDescent="0.25">
      <c r="A94" s="4" t="s">
        <v>95</v>
      </c>
      <c r="B94" s="4">
        <v>5</v>
      </c>
      <c r="C94" s="5">
        <f t="shared" si="4"/>
        <v>2</v>
      </c>
      <c r="D94" s="7">
        <f t="shared" si="5"/>
        <v>10</v>
      </c>
    </row>
    <row r="95" spans="1:4" x14ac:dyDescent="0.25">
      <c r="A95" s="4" t="s">
        <v>96</v>
      </c>
      <c r="B95" s="4">
        <v>6</v>
      </c>
      <c r="C95" s="5">
        <f t="shared" si="4"/>
        <v>2</v>
      </c>
      <c r="D95" s="7">
        <f t="shared" si="5"/>
        <v>12</v>
      </c>
    </row>
    <row r="96" spans="1:4" x14ac:dyDescent="0.25">
      <c r="A96" s="4" t="s">
        <v>97</v>
      </c>
      <c r="B96" s="4">
        <v>7</v>
      </c>
      <c r="C96" s="5">
        <f t="shared" si="4"/>
        <v>2</v>
      </c>
      <c r="D96" s="7">
        <f t="shared" si="5"/>
        <v>14</v>
      </c>
    </row>
    <row r="97" spans="1:4" x14ac:dyDescent="0.25">
      <c r="A97" s="4" t="s">
        <v>98</v>
      </c>
      <c r="B97" s="4">
        <v>8</v>
      </c>
      <c r="C97" s="5">
        <f t="shared" si="4"/>
        <v>2</v>
      </c>
      <c r="D97" s="7">
        <f t="shared" si="5"/>
        <v>16</v>
      </c>
    </row>
    <row r="98" spans="1:4" x14ac:dyDescent="0.25">
      <c r="A98" s="4" t="s">
        <v>99</v>
      </c>
      <c r="B98" s="4">
        <v>9</v>
      </c>
      <c r="C98" s="5">
        <f t="shared" si="4"/>
        <v>2</v>
      </c>
      <c r="D98" s="7">
        <f t="shared" si="5"/>
        <v>18</v>
      </c>
    </row>
    <row r="99" spans="1:4" x14ac:dyDescent="0.25">
      <c r="A99" s="4" t="s">
        <v>100</v>
      </c>
      <c r="B99" s="4">
        <v>10</v>
      </c>
      <c r="C99" s="5">
        <f t="shared" si="4"/>
        <v>0</v>
      </c>
      <c r="D99" s="7">
        <f t="shared" si="5"/>
        <v>40</v>
      </c>
    </row>
    <row r="100" spans="1:4" x14ac:dyDescent="0.25">
      <c r="A100" s="4" t="s">
        <v>101</v>
      </c>
      <c r="B100" s="4">
        <v>0.5</v>
      </c>
      <c r="C100" s="5">
        <f t="shared" si="4"/>
        <v>0</v>
      </c>
      <c r="D100" s="7">
        <f t="shared" si="5"/>
        <v>2</v>
      </c>
    </row>
    <row r="101" spans="1:4" x14ac:dyDescent="0.25">
      <c r="A101" s="4" t="s">
        <v>102</v>
      </c>
      <c r="B101" s="4">
        <v>1</v>
      </c>
      <c r="C101" s="5">
        <f t="shared" si="4"/>
        <v>0</v>
      </c>
      <c r="D101" s="7">
        <f t="shared" si="5"/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zoomScale="98" zoomScaleNormal="98" workbookViewId="0">
      <selection activeCell="E9" sqref="E9"/>
    </sheetView>
  </sheetViews>
  <sheetFormatPr defaultColWidth="12.6640625" defaultRowHeight="15.75" customHeight="1" x14ac:dyDescent="0.25"/>
  <cols>
    <col min="1" max="1" width="12.6640625" style="6"/>
    <col min="2" max="2" width="25.33203125" style="6" customWidth="1"/>
    <col min="3" max="3" width="20.109375" style="6" customWidth="1"/>
    <col min="4" max="4" width="22.77734375" customWidth="1"/>
    <col min="6" max="6" width="13.88671875" customWidth="1"/>
    <col min="7" max="7" width="14.44140625" customWidth="1"/>
  </cols>
  <sheetData>
    <row r="1" spans="1:26" x14ac:dyDescent="0.25">
      <c r="A1" s="12" t="s">
        <v>103</v>
      </c>
      <c r="B1" s="12" t="s">
        <v>104</v>
      </c>
      <c r="C1" s="12" t="s">
        <v>3</v>
      </c>
      <c r="D1" s="20" t="s">
        <v>117</v>
      </c>
      <c r="E1" s="20" t="s">
        <v>119</v>
      </c>
      <c r="F1" s="20" t="s">
        <v>118</v>
      </c>
      <c r="G1" s="21" t="s">
        <v>120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3" t="s">
        <v>105</v>
      </c>
      <c r="B2" s="13">
        <v>55</v>
      </c>
      <c r="C2" s="3"/>
      <c r="D2" s="10" t="str" cm="1">
        <f t="array" ref="D2:D6">_xlfn.UNIQUE(A2:A47)</f>
        <v>Mela</v>
      </c>
      <c r="E2" s="11">
        <f>COUNTIF(A:A,D2)</f>
        <v>11</v>
      </c>
      <c r="F2" s="11">
        <f>SUMIF(A:A,D2,B:B)</f>
        <v>525</v>
      </c>
      <c r="G2" s="19" cm="1">
        <f t="array" ref="G2">SUM(IF(A:A=D2,B:B&gt;80,C:C))</f>
        <v>1685</v>
      </c>
    </row>
    <row r="3" spans="1:26" x14ac:dyDescent="0.25">
      <c r="A3" s="13" t="s">
        <v>106</v>
      </c>
      <c r="B3" s="13">
        <v>70</v>
      </c>
      <c r="C3" s="13">
        <v>80</v>
      </c>
      <c r="D3" s="10" t="str">
        <v>Banana</v>
      </c>
      <c r="E3" s="11">
        <f t="shared" ref="E3:E6" si="0">COUNTIF(A:A,D3)</f>
        <v>14</v>
      </c>
      <c r="F3" s="11">
        <f t="shared" ref="F3:F6" si="1">SUMIF(A:A,D3,B:B)</f>
        <v>755</v>
      </c>
      <c r="G3" s="19" cm="1">
        <f t="array" ref="G3">SUM(IF(A:A=D3,B:B&gt;80,C:C))</f>
        <v>1425</v>
      </c>
    </row>
    <row r="4" spans="1:26" x14ac:dyDescent="0.25">
      <c r="A4" s="13" t="s">
        <v>107</v>
      </c>
      <c r="B4" s="13">
        <v>40</v>
      </c>
      <c r="C4" s="13">
        <v>60</v>
      </c>
      <c r="D4" s="10" t="str">
        <v>Arancia</v>
      </c>
      <c r="E4" s="11">
        <f t="shared" si="0"/>
        <v>11</v>
      </c>
      <c r="F4" s="11">
        <f t="shared" si="1"/>
        <v>555</v>
      </c>
      <c r="G4" s="19" cm="1">
        <f t="array" ref="G4">SUM(IF(A:A=D4,B:B&gt;80,C:C))</f>
        <v>1745</v>
      </c>
    </row>
    <row r="5" spans="1:26" x14ac:dyDescent="0.25">
      <c r="A5" s="13" t="s">
        <v>105</v>
      </c>
      <c r="B5" s="13">
        <v>20</v>
      </c>
      <c r="C5" s="13">
        <v>100</v>
      </c>
      <c r="D5" s="10" t="str">
        <v>Pera</v>
      </c>
      <c r="E5" s="11">
        <f t="shared" si="0"/>
        <v>7</v>
      </c>
      <c r="F5" s="11">
        <f t="shared" si="1"/>
        <v>380</v>
      </c>
      <c r="G5" s="19" cm="1">
        <f t="array" ref="G5">SUM(IF(A:A=D5,B:B&gt;80,C:C))</f>
        <v>2015</v>
      </c>
    </row>
    <row r="6" spans="1:26" x14ac:dyDescent="0.25">
      <c r="A6" s="13" t="s">
        <v>108</v>
      </c>
      <c r="B6" s="13">
        <v>90</v>
      </c>
      <c r="C6" s="13">
        <v>30</v>
      </c>
      <c r="D6" s="15" t="str">
        <v>Uva</v>
      </c>
      <c r="E6" s="18">
        <f t="shared" si="0"/>
        <v>3</v>
      </c>
      <c r="F6" s="11">
        <f t="shared" si="1"/>
        <v>160</v>
      </c>
      <c r="G6" s="19" cm="1">
        <f t="array" ref="G6">SUM(IF(A:A=D6,B:B&gt;80,C:C))</f>
        <v>2090</v>
      </c>
    </row>
    <row r="7" spans="1:26" x14ac:dyDescent="0.25">
      <c r="A7" s="13" t="s">
        <v>106</v>
      </c>
      <c r="B7" s="13">
        <v>50</v>
      </c>
      <c r="C7" s="14">
        <v>40</v>
      </c>
      <c r="D7" s="17"/>
      <c r="E7" s="16"/>
    </row>
    <row r="8" spans="1:26" x14ac:dyDescent="0.25">
      <c r="A8" s="13" t="s">
        <v>107</v>
      </c>
      <c r="B8" s="13">
        <v>60</v>
      </c>
      <c r="C8" s="13">
        <v>55</v>
      </c>
      <c r="D8" s="2"/>
    </row>
    <row r="9" spans="1:26" x14ac:dyDescent="0.25">
      <c r="A9" s="13" t="s">
        <v>105</v>
      </c>
      <c r="B9" s="13">
        <v>45</v>
      </c>
      <c r="C9" s="3"/>
      <c r="D9" s="2"/>
    </row>
    <row r="10" spans="1:26" x14ac:dyDescent="0.25">
      <c r="A10" s="13" t="s">
        <v>106</v>
      </c>
      <c r="B10" s="13">
        <v>25</v>
      </c>
      <c r="C10" s="13">
        <v>85</v>
      </c>
      <c r="D10" s="2"/>
    </row>
    <row r="11" spans="1:26" x14ac:dyDescent="0.25">
      <c r="A11" s="13" t="s">
        <v>108</v>
      </c>
      <c r="B11" s="13">
        <v>35</v>
      </c>
      <c r="C11" s="13">
        <v>50</v>
      </c>
      <c r="D11" s="2"/>
    </row>
    <row r="12" spans="1:26" x14ac:dyDescent="0.25">
      <c r="A12" s="13" t="s">
        <v>109</v>
      </c>
      <c r="B12" s="13">
        <v>60</v>
      </c>
      <c r="C12" s="13">
        <v>95</v>
      </c>
      <c r="D12" s="2"/>
    </row>
    <row r="13" spans="1:26" x14ac:dyDescent="0.25">
      <c r="A13" s="13" t="s">
        <v>107</v>
      </c>
      <c r="B13" s="13">
        <v>80</v>
      </c>
      <c r="C13" s="3"/>
      <c r="D13" s="2"/>
    </row>
    <row r="14" spans="1:26" x14ac:dyDescent="0.25">
      <c r="A14" s="13" t="s">
        <v>106</v>
      </c>
      <c r="B14" s="13">
        <v>40</v>
      </c>
      <c r="C14" s="13">
        <v>45</v>
      </c>
      <c r="D14" s="2"/>
    </row>
    <row r="15" spans="1:26" x14ac:dyDescent="0.25">
      <c r="A15" s="13" t="s">
        <v>105</v>
      </c>
      <c r="B15" s="13">
        <v>65</v>
      </c>
      <c r="C15" s="13">
        <v>65</v>
      </c>
      <c r="D15" s="2"/>
    </row>
    <row r="16" spans="1:26" x14ac:dyDescent="0.25">
      <c r="A16" s="13" t="s">
        <v>107</v>
      </c>
      <c r="B16" s="13">
        <v>55</v>
      </c>
      <c r="C16" s="13">
        <v>30</v>
      </c>
      <c r="D16" s="2"/>
    </row>
    <row r="17" spans="1:4" x14ac:dyDescent="0.25">
      <c r="A17" s="13" t="s">
        <v>108</v>
      </c>
      <c r="B17" s="13">
        <v>70</v>
      </c>
      <c r="C17" s="3"/>
      <c r="D17" s="2"/>
    </row>
    <row r="18" spans="1:4" x14ac:dyDescent="0.25">
      <c r="A18" s="13" t="s">
        <v>106</v>
      </c>
      <c r="B18" s="13">
        <v>45</v>
      </c>
      <c r="C18" s="13">
        <v>80</v>
      </c>
      <c r="D18" s="2"/>
    </row>
    <row r="19" spans="1:4" x14ac:dyDescent="0.25">
      <c r="A19" s="13" t="s">
        <v>105</v>
      </c>
      <c r="B19" s="13">
        <v>25</v>
      </c>
      <c r="C19" s="13">
        <v>60</v>
      </c>
      <c r="D19" s="2"/>
    </row>
    <row r="20" spans="1:4" x14ac:dyDescent="0.25">
      <c r="A20" s="13" t="s">
        <v>106</v>
      </c>
      <c r="B20" s="13">
        <v>35</v>
      </c>
      <c r="C20" s="3"/>
      <c r="D20" s="2"/>
    </row>
    <row r="21" spans="1:4" x14ac:dyDescent="0.25">
      <c r="A21" s="13" t="s">
        <v>107</v>
      </c>
      <c r="B21" s="13">
        <v>60</v>
      </c>
      <c r="C21" s="13">
        <v>30</v>
      </c>
      <c r="D21" s="2"/>
    </row>
    <row r="22" spans="1:4" x14ac:dyDescent="0.25">
      <c r="A22" s="13" t="s">
        <v>105</v>
      </c>
      <c r="B22" s="13">
        <v>70</v>
      </c>
      <c r="C22" s="13">
        <v>40</v>
      </c>
      <c r="D22" s="2"/>
    </row>
    <row r="23" spans="1:4" x14ac:dyDescent="0.25">
      <c r="A23" s="13" t="s">
        <v>106</v>
      </c>
      <c r="B23" s="13">
        <v>45</v>
      </c>
      <c r="C23" s="13">
        <v>55</v>
      </c>
      <c r="D23" s="2"/>
    </row>
    <row r="24" spans="1:4" x14ac:dyDescent="0.25">
      <c r="A24" s="13" t="s">
        <v>108</v>
      </c>
      <c r="B24" s="13">
        <v>25</v>
      </c>
      <c r="C24" s="13">
        <v>70</v>
      </c>
      <c r="D24" s="2"/>
    </row>
    <row r="25" spans="1:4" x14ac:dyDescent="0.25">
      <c r="A25" s="13" t="s">
        <v>109</v>
      </c>
      <c r="B25" s="13">
        <v>35</v>
      </c>
      <c r="C25" s="3"/>
      <c r="D25" s="2"/>
    </row>
    <row r="26" spans="1:4" x14ac:dyDescent="0.25">
      <c r="A26" s="13" t="s">
        <v>107</v>
      </c>
      <c r="B26" s="13">
        <v>60</v>
      </c>
      <c r="C26" s="13">
        <v>50</v>
      </c>
      <c r="D26" s="2"/>
    </row>
    <row r="27" spans="1:4" x14ac:dyDescent="0.25">
      <c r="A27" s="13" t="s">
        <v>106</v>
      </c>
      <c r="B27" s="13">
        <v>80</v>
      </c>
      <c r="C27" s="13">
        <v>95</v>
      </c>
      <c r="D27" s="2"/>
    </row>
    <row r="28" spans="1:4" x14ac:dyDescent="0.25">
      <c r="A28" s="13" t="s">
        <v>105</v>
      </c>
      <c r="B28" s="13">
        <v>40</v>
      </c>
      <c r="C28" s="13">
        <v>75</v>
      </c>
      <c r="D28" s="2"/>
    </row>
    <row r="29" spans="1:4" x14ac:dyDescent="0.25">
      <c r="A29" s="13" t="s">
        <v>107</v>
      </c>
      <c r="B29" s="13">
        <v>65</v>
      </c>
      <c r="C29" s="13">
        <v>45</v>
      </c>
      <c r="D29" s="2"/>
    </row>
    <row r="30" spans="1:4" x14ac:dyDescent="0.25">
      <c r="A30" s="13" t="s">
        <v>106</v>
      </c>
      <c r="B30" s="13">
        <v>55</v>
      </c>
      <c r="C30" s="13">
        <v>65</v>
      </c>
      <c r="D30" s="2"/>
    </row>
    <row r="31" spans="1:4" x14ac:dyDescent="0.25">
      <c r="A31" s="13" t="s">
        <v>108</v>
      </c>
      <c r="B31" s="13">
        <v>70</v>
      </c>
      <c r="C31" s="13">
        <v>30</v>
      </c>
      <c r="D31" s="2"/>
    </row>
    <row r="32" spans="1:4" x14ac:dyDescent="0.25">
      <c r="A32" s="13" t="s">
        <v>105</v>
      </c>
      <c r="B32" s="13">
        <v>45</v>
      </c>
      <c r="C32" s="3"/>
      <c r="D32" s="2"/>
    </row>
    <row r="33" spans="1:4" x14ac:dyDescent="0.25">
      <c r="A33" s="13" t="s">
        <v>106</v>
      </c>
      <c r="B33" s="13">
        <v>25</v>
      </c>
      <c r="C33" s="13">
        <v>80</v>
      </c>
      <c r="D33" s="2"/>
    </row>
    <row r="34" spans="1:4" x14ac:dyDescent="0.25">
      <c r="A34" s="13" t="s">
        <v>107</v>
      </c>
      <c r="B34" s="13">
        <v>35</v>
      </c>
      <c r="C34" s="13">
        <v>60</v>
      </c>
      <c r="D34" s="2"/>
    </row>
    <row r="35" spans="1:4" x14ac:dyDescent="0.25">
      <c r="A35" s="13" t="s">
        <v>105</v>
      </c>
      <c r="B35" s="13">
        <v>60</v>
      </c>
      <c r="C35" s="13">
        <v>100</v>
      </c>
      <c r="D35" s="2"/>
    </row>
    <row r="36" spans="1:4" x14ac:dyDescent="0.25">
      <c r="A36" s="13" t="s">
        <v>106</v>
      </c>
      <c r="B36" s="13">
        <v>80</v>
      </c>
      <c r="C36" s="13">
        <v>30</v>
      </c>
      <c r="D36" s="2"/>
    </row>
    <row r="37" spans="1:4" x14ac:dyDescent="0.25">
      <c r="A37" s="13" t="s">
        <v>108</v>
      </c>
      <c r="B37" s="13">
        <v>40</v>
      </c>
      <c r="C37" s="3"/>
      <c r="D37" s="2"/>
    </row>
    <row r="38" spans="1:4" x14ac:dyDescent="0.25">
      <c r="A38" s="13" t="s">
        <v>109</v>
      </c>
      <c r="B38" s="13">
        <v>65</v>
      </c>
      <c r="C38" s="13">
        <v>55</v>
      </c>
      <c r="D38" s="2"/>
    </row>
    <row r="39" spans="1:4" x14ac:dyDescent="0.25">
      <c r="A39" s="13" t="s">
        <v>107</v>
      </c>
      <c r="B39" s="13">
        <v>55</v>
      </c>
      <c r="C39" s="13">
        <v>70</v>
      </c>
      <c r="D39" s="2"/>
    </row>
    <row r="40" spans="1:4" x14ac:dyDescent="0.25">
      <c r="A40" s="13" t="s">
        <v>106</v>
      </c>
      <c r="B40" s="13">
        <v>70</v>
      </c>
      <c r="C40" s="13">
        <v>85</v>
      </c>
      <c r="D40" s="2"/>
    </row>
    <row r="41" spans="1:4" x14ac:dyDescent="0.25">
      <c r="A41" s="13" t="s">
        <v>105</v>
      </c>
      <c r="B41" s="13">
        <v>40</v>
      </c>
      <c r="C41" s="13">
        <v>50</v>
      </c>
      <c r="D41" s="2"/>
    </row>
    <row r="42" spans="1:4" x14ac:dyDescent="0.25">
      <c r="A42" s="13" t="s">
        <v>107</v>
      </c>
      <c r="B42" s="13">
        <v>20</v>
      </c>
      <c r="C42" s="13">
        <v>95</v>
      </c>
      <c r="D42" s="2"/>
    </row>
    <row r="43" spans="1:4" x14ac:dyDescent="0.25">
      <c r="A43" s="13" t="s">
        <v>106</v>
      </c>
      <c r="B43" s="13">
        <v>90</v>
      </c>
      <c r="C43" s="13">
        <v>75</v>
      </c>
      <c r="D43" s="2"/>
    </row>
    <row r="44" spans="1:4" x14ac:dyDescent="0.25">
      <c r="A44" s="13" t="s">
        <v>108</v>
      </c>
      <c r="B44" s="13">
        <v>50</v>
      </c>
      <c r="C44" s="13">
        <v>45</v>
      </c>
      <c r="D44" s="2"/>
    </row>
    <row r="45" spans="1:4" x14ac:dyDescent="0.25">
      <c r="A45" s="13" t="s">
        <v>105</v>
      </c>
      <c r="B45" s="13">
        <v>60</v>
      </c>
      <c r="C45" s="13">
        <v>65</v>
      </c>
      <c r="D45" s="2"/>
    </row>
    <row r="46" spans="1:4" x14ac:dyDescent="0.25">
      <c r="A46" s="13" t="s">
        <v>106</v>
      </c>
      <c r="B46" s="13">
        <v>45</v>
      </c>
      <c r="C46" s="3"/>
      <c r="D46" s="2"/>
    </row>
    <row r="47" spans="1:4" x14ac:dyDescent="0.25">
      <c r="A47" s="13" t="s">
        <v>107</v>
      </c>
      <c r="B47" s="13">
        <v>25</v>
      </c>
      <c r="C47" s="3"/>
      <c r="D4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Espinoza Falla</dc:creator>
  <cp:lastModifiedBy>Pedro Hernan Espinoza Falla</cp:lastModifiedBy>
  <dcterms:created xsi:type="dcterms:W3CDTF">2026-04-19T20:09:38Z</dcterms:created>
  <dcterms:modified xsi:type="dcterms:W3CDTF">2026-04-20T16:31:57Z</dcterms:modified>
</cp:coreProperties>
</file>