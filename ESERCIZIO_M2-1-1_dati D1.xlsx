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bcc35c869531aa5/Escritorio/Data Analyst/Settimana 1/"/>
    </mc:Choice>
  </mc:AlternateContent>
  <xr:revisionPtr revIDLastSave="101" documentId="13_ncr:1_{221B5160-BE8F-4F9D-8C20-86AEBBA07555}" xr6:coauthVersionLast="47" xr6:coauthVersionMax="47" xr10:uidLastSave="{B51A3033-7044-4479-913A-E0190B6C0F35}"/>
  <bookViews>
    <workbookView xWindow="-108" yWindow="-108" windowWidth="23256" windowHeight="12456" activeTab="1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C2" i="2" l="1"/>
  <c r="I10" i="3"/>
  <c r="I11" i="3"/>
  <c r="I12" i="3"/>
  <c r="I13" i="3"/>
  <c r="I14" i="3"/>
  <c r="I15" i="3"/>
  <c r="I9" i="3"/>
  <c r="H10" i="3"/>
  <c r="H11" i="3"/>
  <c r="H12" i="3"/>
  <c r="H13" i="3"/>
  <c r="H14" i="3"/>
  <c r="H15" i="3"/>
  <c r="H9" i="3"/>
  <c r="I3" i="3"/>
  <c r="I4" i="3"/>
  <c r="I5" i="3"/>
  <c r="I6" i="3"/>
  <c r="H6" i="3"/>
  <c r="H5" i="3"/>
  <c r="H4" i="3"/>
  <c r="H3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D2" i="1"/>
  <c r="C3" i="2"/>
  <c r="C4" i="2"/>
  <c r="C5" i="2"/>
  <c r="C6" i="2"/>
  <c r="C7" i="2"/>
  <c r="C8" i="2"/>
  <c r="C1" i="2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pietr</author>
  </authors>
  <commentList>
    <comment ref="E2" authorId="0" shapeId="0" xr:uid="{7DA3F807-E606-4731-8FAE-F12773FC076D}">
      <text>
        <r>
          <rPr>
            <b/>
            <sz val="9"/>
            <color indexed="81"/>
            <rFont val="Tahoma"/>
            <family val="2"/>
          </rPr>
          <t>pietr:</t>
        </r>
        <r>
          <rPr>
            <sz val="9"/>
            <color indexed="81"/>
            <rFont val="Tahoma"/>
            <family val="2"/>
          </rPr>
          <t xml:space="preserve">
Concatenare &amp; se si vuole creare un spazio bisogna =valore&amp;" "&amp;valore o  TESTO.UNISCI("";valore 1;valore 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pietr</author>
  </authors>
  <commentList>
    <comment ref="C2" authorId="0" shapeId="0" xr:uid="{9D3DD397-E348-441B-B832-78B315E8BEA7}">
      <text>
        <r>
          <rPr>
            <b/>
            <sz val="9"/>
            <color indexed="81"/>
            <rFont val="Tahoma"/>
            <family val="2"/>
          </rPr>
          <t>pietr:</t>
        </r>
        <r>
          <rPr>
            <sz val="9"/>
            <color indexed="81"/>
            <rFont val="Tahoma"/>
            <family val="2"/>
          </rPr>
          <t xml:space="preserve">
il indice e per dare a sappere che valore vuoi presentare 
</t>
        </r>
      </text>
    </comment>
  </commentList>
</comments>
</file>

<file path=xl/sharedStrings.xml><?xml version="1.0" encoding="utf-8"?>
<sst xmlns="http://schemas.openxmlformats.org/spreadsheetml/2006/main" count="817" uniqueCount="578">
  <si>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</si>
  <si>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</si>
  <si>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</si>
  <si>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</si>
  <si>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</si>
  <si>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</si>
  <si>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</si>
  <si>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</si>
  <si>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</si>
  <si>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</si>
  <si>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</si>
  <si>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</si>
  <si>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</si>
  <si>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</si>
  <si>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</si>
  <si>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</si>
  <si>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</si>
  <si>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</si>
  <si>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</si>
  <si>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</si>
  <si>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</si>
  <si>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</si>
  <si>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</si>
  <si>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</si>
  <si>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</si>
  <si>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</si>
  <si>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</si>
  <si>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</si>
  <si>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</si>
  <si>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</si>
  <si>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</si>
  <si>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</si>
  <si>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</si>
  <si>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</si>
  <si>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</si>
  <si>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</si>
  <si>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</si>
  <si>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</si>
  <si>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</si>
  <si>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</si>
  <si>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</si>
  <si>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</si>
  <si>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</si>
  <si>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</si>
  <si>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</si>
  <si>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</si>
  <si>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</si>
  <si>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</si>
  <si>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</si>
  <si>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</si>
  <si>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</si>
  <si>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</si>
  <si>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</si>
  <si>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</si>
  <si>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</si>
  <si>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</si>
  <si>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</si>
  <si>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</si>
  <si>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</si>
  <si>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</si>
  <si>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</si>
  <si>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</si>
  <si>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</si>
  <si>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</si>
  <si>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</si>
  <si>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</si>
  <si>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</si>
  <si>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</si>
  <si>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</si>
  <si>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</si>
  <si>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</si>
  <si>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</si>
  <si>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</si>
  <si>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</si>
  <si>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</si>
  <si>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</si>
  <si>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</si>
  <si>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</si>
  <si>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</si>
  <si>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</si>
  <si>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</si>
  <si>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</si>
  <si>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</si>
  <si>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</si>
  <si>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</si>
  <si>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</si>
  <si>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</si>
  <si>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</si>
  <si>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</si>
  <si>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</si>
  <si>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</si>
  <si>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</si>
  <si>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</si>
  <si>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</si>
  <si>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</si>
  <si>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</si>
  <si>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</si>
  <si>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</si>
  <si>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</si>
  <si>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</si>
  <si>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</si>
  <si>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</si>
  <si>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</si>
  <si>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</si>
  <si>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</si>
  <si>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</si>
  <si>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</si>
  <si>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</si>
  <si>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</si>
  <si>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</si>
  <si>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</si>
  <si>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</si>
  <si>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</si>
  <si>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</si>
  <si>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</si>
  <si>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</si>
  <si>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</si>
  <si>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</si>
  <si>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</si>
  <si>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</si>
  <si>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</si>
  <si>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</si>
  <si>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</si>
  <si>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</si>
  <si>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</si>
  <si>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</si>
  <si>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</si>
  <si>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</si>
  <si>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</si>
  <si>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</si>
  <si>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</si>
  <si>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</si>
  <si>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</si>
  <si>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</si>
  <si>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</si>
  <si>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</si>
  <si>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</si>
  <si>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</si>
  <si>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</si>
  <si>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</si>
  <si>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</si>
  <si>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</si>
  <si>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</si>
  <si>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</si>
  <si>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</si>
  <si>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</si>
  <si>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</si>
  <si>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</si>
  <si>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</si>
  <si>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</si>
  <si>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</si>
  <si>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</si>
  <si>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</si>
  <si>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</si>
  <si>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</si>
  <si>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</si>
  <si>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</si>
  <si>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</si>
  <si>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</si>
  <si>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</si>
  <si>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</si>
  <si>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</si>
  <si>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</si>
  <si>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</si>
  <si>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</si>
  <si>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</si>
  <si>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</si>
  <si>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</si>
  <si>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</si>
  <si>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</si>
  <si>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</si>
  <si>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</si>
  <si>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</si>
  <si>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</si>
  <si>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</si>
  <si>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</si>
  <si>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</si>
  <si>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</si>
  <si>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</si>
  <si>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</si>
  <si>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</si>
  <si>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</si>
  <si>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</si>
  <si>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</si>
  <si>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</si>
  <si>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</si>
  <si>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</si>
  <si>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</si>
  <si>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</si>
  <si>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</si>
  <si>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</si>
  <si>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</si>
  <si>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</si>
  <si>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</si>
  <si>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</si>
  <si>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</si>
  <si>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</si>
  <si>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</si>
  <si>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</si>
  <si>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</si>
  <si>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</si>
  <si>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</si>
  <si>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</si>
  <si>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</si>
  <si>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</si>
  <si>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</si>
  <si>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</si>
  <si>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</si>
  <si>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</si>
  <si>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</si>
  <si>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</si>
  <si>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</si>
  <si>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</si>
  <si>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</si>
  <si>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</si>
  <si>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</si>
  <si>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</si>
  <si>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</si>
  <si>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</si>
  <si>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</si>
  <si>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</si>
  <si>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</si>
  <si>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</si>
  <si>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</si>
  <si>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</si>
  <si>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</si>
  <si>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</si>
  <si>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</si>
  <si>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</si>
  <si>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</si>
  <si>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</si>
  <si>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</si>
  <si>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</si>
  <si>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</si>
  <si>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</si>
  <si>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</si>
  <si>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</si>
  <si>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</si>
  <si>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</si>
  <si>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</si>
  <si>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</si>
  <si>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</si>
  <si>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</si>
  <si>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</si>
  <si>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</si>
  <si>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</si>
  <si>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</si>
  <si>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</si>
  <si>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</si>
  <si>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</si>
  <si>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</si>
  <si>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</si>
  <si>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</si>
  <si>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</si>
  <si>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</si>
  <si>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</si>
  <si>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</si>
  <si>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</si>
  <si>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</si>
  <si>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</si>
  <si>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</si>
  <si>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</si>
  <si>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</si>
  <si>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</si>
  <si>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</si>
  <si>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</si>
  <si>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</si>
  <si>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</si>
  <si>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</si>
  <si>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</si>
  <si>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</si>
  <si>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</si>
  <si>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</si>
  <si>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</si>
  <si>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</si>
  <si>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</si>
  <si>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</si>
  <si>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</si>
  <si>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</si>
  <si>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</si>
  <si>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</si>
  <si>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</si>
  <si>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</si>
  <si>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</si>
  <si>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</si>
  <si>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</si>
  <si>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</si>
  <si>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</si>
  <si>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</si>
  <si>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</si>
  <si>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</si>
  <si>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</si>
  <si>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</si>
  <si>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</si>
  <si>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</si>
  <si>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</si>
  <si>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</si>
  <si>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</si>
  <si>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</si>
  <si>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</si>
  <si>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</si>
  <si>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</si>
  <si>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</si>
  <si>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</si>
  <si>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</si>
  <si>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</si>
  <si>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</si>
  <si>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</si>
  <si>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</si>
  <si>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</si>
  <si>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</si>
  <si>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</si>
  <si>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</si>
  <si>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</si>
  <si>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</si>
  <si>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</si>
  <si>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</si>
  <si>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</si>
  <si>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</si>
  <si>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</si>
  <si>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</si>
  <si>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</si>
  <si>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</si>
  <si>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</si>
  <si>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</si>
  <si>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</si>
  <si>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</si>
  <si>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</si>
  <si>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</si>
  <si>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</si>
  <si>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</si>
  <si>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</si>
  <si>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</si>
  <si>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</si>
  <si>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</si>
  <si>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</si>
  <si>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</si>
  <si>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</si>
  <si>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</si>
  <si>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</si>
  <si>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</si>
  <si>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</si>
  <si>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</si>
  <si>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</si>
  <si>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</si>
  <si>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</si>
  <si>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</si>
  <si>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</si>
  <si>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</si>
  <si>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</si>
  <si>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</si>
  <si>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</si>
  <si>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</si>
  <si>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</si>
  <si>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</si>
  <si>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</si>
  <si>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</si>
  <si>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</si>
  <si>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</si>
  <si>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</si>
  <si>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</si>
  <si>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</si>
  <si>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</si>
  <si>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</si>
  <si>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</si>
  <si>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</si>
  <si>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</si>
  <si>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</si>
  <si>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</si>
  <si>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</si>
  <si>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</si>
  <si>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</si>
  <si>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</si>
  <si>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</si>
  <si>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</si>
  <si>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</si>
  <si>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</si>
  <si>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</si>
  <si>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</si>
  <si>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</si>
  <si>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</si>
  <si>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</si>
  <si>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</si>
  <si>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</si>
  <si>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</si>
  <si>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</si>
  <si>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</si>
  <si>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</si>
  <si>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</si>
  <si>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</si>
  <si>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</si>
  <si>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</si>
  <si>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</si>
  <si>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</si>
  <si>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</si>
  <si>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</si>
  <si>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</si>
  <si>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</si>
  <si>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</si>
  <si>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</si>
  <si>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</si>
  <si>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</si>
  <si>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</si>
  <si>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</si>
  <si>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</si>
  <si>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</si>
  <si>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</si>
  <si>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</si>
  <si>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</si>
  <si>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</si>
  <si>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</si>
  <si>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</si>
  <si>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</si>
  <si>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</si>
  <si>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</si>
  <si>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</si>
  <si>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</si>
  <si>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</si>
  <si>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</si>
  <si>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</si>
  <si>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</si>
  <si>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</si>
  <si>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</si>
  <si>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</si>
  <si>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</si>
  <si>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</si>
  <si>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</si>
  <si>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</si>
  <si>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</si>
  <si>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</si>
  <si>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</si>
  <si>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</si>
  <si>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</si>
  <si>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</si>
  <si>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</si>
  <si>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</si>
  <si>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</si>
  <si>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</si>
  <si>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</si>
  <si>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</si>
  <si>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</si>
  <si>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</si>
  <si>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</si>
  <si>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</si>
  <si>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</si>
  <si>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</si>
  <si>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</si>
  <si>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</si>
  <si>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</si>
  <si>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</si>
  <si>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</si>
  <si>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</si>
  <si>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</si>
  <si>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</si>
  <si>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</si>
  <si>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</si>
  <si>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</si>
  <si>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</si>
  <si>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</si>
  <si>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</si>
  <si>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</si>
  <si>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</si>
  <si>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</si>
  <si>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</si>
  <si>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</si>
  <si>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</si>
  <si>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</si>
  <si>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</si>
  <si>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</si>
  <si>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</si>
  <si>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</si>
  <si>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</si>
  <si>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</si>
  <si>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</si>
  <si>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</si>
  <si>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</si>
  <si>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</si>
  <si>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</si>
  <si>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</si>
  <si>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</si>
  <si>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</si>
  <si>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</si>
  <si>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</si>
  <si>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</si>
  <si>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</si>
  <si>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</si>
  <si>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</si>
  <si>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</si>
  <si>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</si>
  <si>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</si>
  <si>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</si>
  <si>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</si>
  <si>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</si>
  <si>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</si>
  <si>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</si>
  <si>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</si>
  <si>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</si>
  <si>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</si>
  <si>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</si>
  <si>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</si>
  <si>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</si>
  <si>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</si>
  <si>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</si>
  <si>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</si>
  <si>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</si>
  <si>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</si>
  <si>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</si>
  <si>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</si>
  <si>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</si>
  <si>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</si>
  <si>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</si>
  <si>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</si>
  <si>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</si>
  <si>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</si>
  <si>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</si>
  <si>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</si>
  <si>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</si>
  <si>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</si>
  <si>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</si>
  <si>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</si>
  <si>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</si>
  <si>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</si>
  <si>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</si>
  <si>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</si>
  <si>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</si>
  <si>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</si>
  <si>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</si>
  <si>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</si>
  <si>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</si>
  <si>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</si>
  <si>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</si>
  <si>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</si>
  <si>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</si>
  <si>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</si>
  <si>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</si>
  <si>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</si>
  <si>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</si>
  <si>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</si>
  <si>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</si>
  <si>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</si>
  <si>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</si>
  <si>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</si>
  <si>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</si>
  <si>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</si>
  <si>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</si>
  <si>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</si>
  <si>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</si>
  <si>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</si>
  <si>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</si>
  <si>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</si>
  <si>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</si>
  <si>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</si>
  <si>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</si>
  <si>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</si>
  <si>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</si>
  <si>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</si>
  <si>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</si>
  <si>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</si>
  <si>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</si>
  <si>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</si>
  <si>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</si>
  <si>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</si>
  <si>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</si>
  <si>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</si>
  <si>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</si>
  <si>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</si>
  <si>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</si>
  <si>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</si>
  <si>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</si>
  <si>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 (20%)</t>
  </si>
  <si>
    <t>Respinto</t>
  </si>
  <si>
    <t>Suficiente</t>
  </si>
  <si>
    <t>Buono</t>
  </si>
  <si>
    <t>Discreto</t>
  </si>
  <si>
    <t xml:space="preserve">ESERCIZIO 4 </t>
  </si>
  <si>
    <t xml:space="preserve">ESERCIZIO 3 </t>
  </si>
  <si>
    <t>ESERCIZIO 5</t>
  </si>
  <si>
    <t xml:space="preserve">ESERCIZIO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</si>
</sst>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12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10" fillId="0" borderId="0" xfId="0" applyFont="1"/>
    <xf numFmtId="167" fontId="0" fillId="0" borderId="0" xfId="0" applyNumberFormat="1"/>
    <xf numFmtId="0" fontId="11" fillId="0" borderId="0" xfId="0" applyFont="1"/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515352</xdr:colOff>
      <xdr:row>10</xdr:row>
      <xdr:rowOff>22860</xdr:rowOff>
    </xdr:from>
    <xdr:to>
      <xdr:col>9</xdr:col>
      <xdr:colOff>580051</xdr:colOff>
      <xdr:row>24</xdr:row>
      <xdr:rowOff>23161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0137962-E4B7-C71D-92B8-FF658C5C5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5492" y="1623060"/>
          <a:ext cx="6937939" cy="22405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VLOOKUP(Table_1[[#This Row],[Column2]],$F$2:$G$5,2)</calculatedColumnFormula>
    </tableColumn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B1" workbookViewId="0">
      <pane ySplit="1" topLeftCell="A2" activePane="bottomLeft" state="frozen"/>
      <selection pane="bottomLeft" activeCell="D2" sqref="D2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7.21875" customWidth="1"/>
    <col min="5" max="5" width="87.88671875" customWidth="1"/>
    <col min="6" max="6" width="5.5546875" customWidth="1"/>
    <col min="7" max="7" width="7.109375" customWidth="1"/>
    <col min="8" max="26" width="8.664062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(C2*20)/120</f>
        <v>46833.333333333336</v>
      </c>
      <c r="E2" s="4" t="str">
        <f>A2&amp;" "&amp;B2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(C3*20)/120</f>
        <v>53833.333333333336</v>
      </c>
      <c r="E3" s="4" t="str">
        <f t="shared" ref="E3:E66" si="1">A3&amp;" "&amp;B3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57333.333333333336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60166.666666666664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86833.333333333328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87833.333333333328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104333.33333333333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109333.33333333333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111000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147000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184666.66666666666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219333.33333333334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265666.66666666669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453166.66666666669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682000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2309833.3333333335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27833.333333333332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33666.666666666664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33833.333333333336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39000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42000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43166.666666666664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44833.333333333336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45166.666666666664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48666.666666666664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48833.333333333336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51166.666666666664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73333.333333333328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81166.666666666672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94333.333333333328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133666.66666666666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263166.66666666669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11666.666666666666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17333.333333333332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21166.666666666668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27000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29833.333333333332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31000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31000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33833.333333333336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35333.333333333336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37000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40833.333333333336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41833.333333333336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42833.333333333336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44833.333333333336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52333.333333333336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54166.666666666664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57833.333333333336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61500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67000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78500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79333.333333333328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82000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88500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92000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247833.33333333334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16833.333333333332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6333.333333333333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22833.333333333332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37000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(C67*20)/120</f>
        <v>83500</v>
      </c>
      <c r="E67" s="4" t="str">
        <f t="shared" ref="E67:E130" si="3">A67&amp;" "&amp;B67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71333.333333333328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93500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263000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5666.666666666667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3333.3333333333335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3833.3333333333335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16333.333333333334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41833.333333333336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2500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2333.3333333333335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66500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43166.666666666664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54000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63000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78166.666666666672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92666.666666666672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79333.333333333328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79500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92666.666666666672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115833.33333333333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213166.66666666666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5833.333333333333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29166.666666666668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45333.333333333336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33000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48333.333333333336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98166.666666666672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123833.33333333333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45166.666666666664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105333.33333333333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15000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666.66666666666663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833.33333333333337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6833.333333333333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122833.33333333333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151666.66666666666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40166.666666666664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18666.666666666668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18833.333333333332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20166.666666666668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26666.666666666668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32500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35833.333333333336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53500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102333.33333333333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5000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5666.666666666667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5833.333333333333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12833.333333333334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120500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123666.66666666667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129666.66666666667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146333.33333333334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147166.66666666666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152166.66666666666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187500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5500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8666.6666666666661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(C131*20)/120</f>
        <v>16166.666666666666</v>
      </c>
      <c r="E131" s="4" t="str">
        <f t="shared" ref="E131:E194" si="5">A131&amp;" "&amp;B131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21833.333333333332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28166.666666666668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31666.666666666668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31833.333333333332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32833.333333333336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33500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36666.666666666664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41666.666666666664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42833.333333333336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46333.333333333336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46666.666666666664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50000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50833.333333333336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55833.333333333336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60000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71500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116833.33333333333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15000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11500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14833.333333333334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23000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32666.666666666668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54833.333333333336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49166.666666666664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3166.6666666666665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4333.333333333333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4666.666666666667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9333.3333333333339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36000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41666.666666666664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63666.666666666664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87333.333333333328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126166.66666666667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174166.66666666666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261333.33333333334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19500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26333.333333333332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43333.333333333336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32166.666666666668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45000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52333.333333333336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149000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173333.33333333334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1333.3333333333333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1666.6666666666667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4000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1833.3333333333333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1666.6666666666667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4333.333333333333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3666.6666666666665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10500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10500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4333.333333333333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4166.666666666667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4166.666666666667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7666.666666666667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6166.666666666667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6166.666666666667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(C195*20)/120</f>
        <v>1833.3333333333333</v>
      </c>
      <c r="E195" s="4" t="str">
        <f t="shared" ref="E195:E258" si="7">A195&amp;" "&amp;B195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7666.666666666667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3166.6666666666665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2166.6666666666665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4333.333333333333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4333.333333333333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3333.3333333333335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8166.666666666667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5500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11333.333333333334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5500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24500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25166.666666666668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32833.333333333336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51666.666666666664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45166.666666666664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76333.333333333328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68666.666666666672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134500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666.66666666666663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13500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20833.333333333332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16333.333333333334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23333.333333333332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833.33333333333337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1000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1500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1333.3333333333333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1833.3333333333333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3500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2333.3333333333335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3833.3333333333335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8500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33000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27833.333333333332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15833.333333333334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23500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58500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69000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10166.666666666666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148833.33333333334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164166.66666666666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49333.333333333336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114166.66666666667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189666.66666666666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222333.33333333334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5000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5000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67666.666666666672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32833.333333333336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107500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107500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43166.666666666664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107666.66666666667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43166.666666666664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107500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146500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43166.666666666664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45666.666666666664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162500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80000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197833.33333333334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138666.66666666666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(C259*20)/120</f>
        <v>37833.333333333336</v>
      </c>
      <c r="E259" s="4" t="str">
        <f t="shared" ref="E259:E322" si="9">A259&amp;" "&amp;B259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16333.333333333334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198333.33333333334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50000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401166.66666666669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170166.66666666666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107666.66666666667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43166.666666666664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32166.666666666668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16000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99000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47000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302333.33333333331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32166.666666666668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109000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121500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105333.33333333333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40000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159166.66666666666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187666.66666666666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49500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107666.66666666667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119000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134500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98500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153000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210833.33333333334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42666.666666666664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61833.333333333336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76166.666666666672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107000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261833.33333333334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126000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261833.33333333334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452666.66666666669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106666.66666666667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42500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68833.333333333328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60166.666666666664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90666.666666666672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113000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175666.66666666666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80333.333333333328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120333.33333333333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44833.333333333336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61833.333333333336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77000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90166.666666666672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108000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107333.33333333333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150333.33333333334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120333.33333333333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242833.33333333334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297666.66666666669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14166.666666666666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14000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19166.666666666668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25333.333333333332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13666.666666666666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14000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19166.666666666668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25500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(C323*20)/120</f>
        <v>13333.333333333334</v>
      </c>
      <c r="E323" s="4" t="str">
        <f t="shared" ref="E323:E337" si="11">A323&amp;" "&amp;B323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17000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33000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38833.333333333336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46500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49666.666666666664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79666.666666666672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104333.33333333333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126166.66666666667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188000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254500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689000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1141666.6666666667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1952000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tabSelected="1" workbookViewId="0">
      <selection activeCell="C2" sqref="C2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9.33203125" customWidth="1"/>
    <col min="6" max="6" width="7.33203125" customWidth="1"/>
    <col min="7" max="7" width="14.33203125" customWidth="1"/>
    <col min="8" max="8" width="8" customWidth="1"/>
    <col min="9" max="26" width="9.33203125" customWidth="1"/>
  </cols>
  <sheetData>
    <row r="1" spans="1:26" ht="12.75" customHeight="1" x14ac:dyDescent="0.3">
      <c r="A1" s="6" t="s">
        <v>484</v>
      </c>
      <c r="B1" s="6" t="s">
        <v>485</v>
      </c>
      <c r="C1" s="6" t="e">
        <f>VLOOKUP(Table_1[[#This Row],[Column2]],$F$2:$G$5,2)</f>
        <v>#N/A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>
        <f>VLOOKUP(Table_1[[#This Row],[Column2]],$F$2:$G$5,2)</f>
        <v>Suficiente</v>
      </c>
      <c r="D2" s="8"/>
      <c r="E2" s="8"/>
      <c r="F2" s="8">
        <v>0</v>
      </c>
      <c r="G2" s="8" t="s">
        <v>570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>
        <f>VLOOKUP(Table_1[[#This Row],[Column2]],$F$2:$G$5,2)</f>
        <v>Discreto</v>
      </c>
      <c r="E3" s="8"/>
      <c r="F3" s="8">
        <v>40</v>
      </c>
      <c r="G3" s="8" t="s">
        <v>571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>
        <f>VLOOKUP(Table_1[[#This Row],[Column2]],$F$2:$G$5,2)</f>
        <v>Discreto</v>
      </c>
      <c r="E4" s="8"/>
      <c r="F4" s="8">
        <v>60</v>
      </c>
      <c r="G4" s="8" t="s">
        <v>573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>
        <f>VLOOKUP(Table_1[[#This Row],[Column2]],$F$2:$G$5,2)</f>
        <v>Suficiente</v>
      </c>
      <c r="E5" s="8"/>
      <c r="F5" s="8">
        <v>70</v>
      </c>
      <c r="G5" s="8" t="s">
        <v>572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>VLOOKUP(Table_1[[#This Row],[Column2]],$F$2:$G$5,2)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>VLOOKUP(Table_1[[#This Row],[Column2]],$F$2:$G$5,2)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>VLOOKUP(Table_1[[#This Row],[Column2]],$F$2:$G$5,2)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activeCell="J20" sqref="J20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11.88671875" customWidth="1"/>
    <col min="7" max="7" width="12.88671875" customWidth="1"/>
    <col min="8" max="8" width="8.6640625" customWidth="1"/>
    <col min="9" max="9" width="13.6640625" customWidth="1"/>
    <col min="10" max="24" width="8.6640625" customWidth="1"/>
  </cols>
  <sheetData>
    <row r="1" spans="1:24" ht="13.5" customHeight="1" x14ac:dyDescent="0.3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17" t="s">
        <v>575</v>
      </c>
      <c r="I2" s="17" t="s">
        <v>576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15" t="s">
        <v>499</v>
      </c>
      <c r="H3" s="15">
        <f>COUNTIF(C:C,"Abbigliamento")</f>
        <v>11</v>
      </c>
      <c r="I3" s="16">
        <f>SUMIF(C:C,G3,D:D)</f>
        <v>611780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15" t="s">
        <v>558</v>
      </c>
      <c r="H4" s="15">
        <f>COUNTIF(C:C,"Alimentari")</f>
        <v>5</v>
      </c>
      <c r="I4" s="16">
        <f t="shared" ref="I4:I6" si="0">SUMIF(C:C,G4,D:D)</f>
        <v>30860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15" t="s">
        <v>506</v>
      </c>
      <c r="H5" s="15">
        <f>COUNTIF(C:C,"Personale")</f>
        <v>4</v>
      </c>
      <c r="I5" s="16">
        <f t="shared" si="0"/>
        <v>54000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G6" s="15" t="s">
        <v>547</v>
      </c>
      <c r="H6" s="15">
        <f>COUNTIF(C:C,"Hardware")</f>
        <v>4</v>
      </c>
      <c r="I6" s="16">
        <f t="shared" si="0"/>
        <v>6765600</v>
      </c>
    </row>
    <row r="7" spans="1:24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I7" s="16"/>
    </row>
    <row r="8" spans="1:24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7" t="s">
        <v>574</v>
      </c>
      <c r="I8" s="17" t="s">
        <v>577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15" t="s">
        <v>501</v>
      </c>
      <c r="H9">
        <f>COUNTIF(B:B,G9)</f>
        <v>2</v>
      </c>
      <c r="I9" s="16">
        <f>SUMIF(B:B,G9,D:D)</f>
        <v>73450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5" t="s">
        <v>507</v>
      </c>
      <c r="H10">
        <f t="shared" ref="H10:H15" si="1">COUNTIF(B:B,G10)</f>
        <v>1</v>
      </c>
      <c r="I10" s="16">
        <f t="shared" ref="I10:I15" si="2">SUMIF(B:B,G10,D:D)</f>
        <v>50800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15" t="s">
        <v>509</v>
      </c>
      <c r="H11">
        <f t="shared" si="1"/>
        <v>1</v>
      </c>
      <c r="I11" s="16">
        <f t="shared" si="2"/>
        <v>98450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15" t="s">
        <v>511</v>
      </c>
      <c r="H12">
        <f t="shared" si="1"/>
        <v>1</v>
      </c>
      <c r="I12" s="16">
        <f t="shared" si="2"/>
        <v>7950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15" t="s">
        <v>525</v>
      </c>
      <c r="H13">
        <f t="shared" si="1"/>
        <v>4</v>
      </c>
      <c r="I13" s="16">
        <f t="shared" si="2"/>
        <v>283000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15" t="s">
        <v>528</v>
      </c>
      <c r="H14">
        <f t="shared" si="1"/>
        <v>2</v>
      </c>
      <c r="I14" s="16">
        <f t="shared" si="2"/>
        <v>107700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G15" s="15" t="s">
        <v>529</v>
      </c>
      <c r="H15">
        <f t="shared" si="1"/>
        <v>1</v>
      </c>
      <c r="I15" s="16">
        <f t="shared" si="2"/>
        <v>27270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Pedro Hernan Espinoza Falla</cp:lastModifiedBy>
  <dcterms:created xsi:type="dcterms:W3CDTF">2005-04-12T12:35:30Z</dcterms:created>
  <dcterms:modified xsi:type="dcterms:W3CDTF">2026-04-16T17:31:56Z</dcterms:modified>
</cp:coreProperties>
</file>